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16"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petermayne\Documents\Integrations\Gold Template\"/>
    </mc:Choice>
  </mc:AlternateContent>
  <xr:revisionPtr revIDLastSave="2" documentId="13_ncr:1_{C993DD3F-8987-41A3-A3A4-9862F23C7A26}" xr6:coauthVersionLast="47" xr6:coauthVersionMax="47" xr10:uidLastSave="{35F7F5E2-E8B2-4E2C-8278-30F8E592149A}"/>
  <bookViews>
    <workbookView xWindow="-120" yWindow="-120" windowWidth="29040" windowHeight="15840" tabRatio="685" firstSheet="3" activeTab="3" xr2:uid="{0EB43315-B5B2-46CB-9264-8FDFA159188B}"/>
  </bookViews>
  <sheets>
    <sheet name="GoodsOut" sheetId="5" r:id="rId1"/>
    <sheet name="Errors" sheetId="23" r:id="rId2"/>
    <sheet name="WorksOrder" sheetId="27" r:id="rId3"/>
    <sheet name="GoodsOutResp" sheetId="18" r:id="rId4"/>
    <sheet name="GI-RetResp" sheetId="29" r:id="rId5"/>
    <sheet name="GoodsIn" sheetId="21" r:id="rId6"/>
    <sheet name="Returns" sheetId="22" r:id="rId7"/>
    <sheet name="MasterData" sheetId="16" r:id="rId8"/>
    <sheet name="RefEntries" sheetId="13" r:id="rId9"/>
    <sheet name="LISTS" sheetId="10" r:id="rId10"/>
    <sheet name="JSON" sheetId="24" r:id="rId11"/>
    <sheet name="Params" sheetId="14" state="hidden" r:id="rId12"/>
    <sheet name="CFieldData" sheetId="8" state="hidden" r:id="rId13"/>
    <sheet name="CustFields" sheetId="17" state="hidden" r:id="rId14"/>
    <sheet name="XML" sheetId="6" state="hidden" r:id="rId15"/>
    <sheet name="Explode" sheetId="20" r:id="rId16"/>
    <sheet name="Version" sheetId="28" r:id="rId17"/>
    <sheet name="Notes" sheetId="11" r:id="rId18"/>
  </sheets>
  <definedNames>
    <definedName name="CFrom">XML!$F$2</definedName>
    <definedName name="cVersion">Version!$C$2</definedName>
    <definedName name="fheadblock">CFieldData!$Q$3:$U$3</definedName>
    <definedName name="fldBlock">CFieldData!$P$5:$AA$8</definedName>
    <definedName name="FldLU">CFieldData!$E$3</definedName>
    <definedName name="FStart">CFieldData!$O$5</definedName>
    <definedName name="ListData">Explode!$J$1</definedName>
    <definedName name="XmlGap">Params!$B$2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6" i="20" l="1"/>
  <c r="N16" i="20" s="1" a="1"/>
  <c r="N16" i="20" s="1"/>
  <c r="O16" i="20" s="1"/>
  <c r="M17" i="20"/>
  <c r="T17" i="20" s="1" a="1"/>
  <c r="T17" i="20" s="1"/>
  <c r="M18" i="20"/>
  <c r="T18" i="20" s="1" a="1"/>
  <c r="T18" i="20" s="1"/>
  <c r="P16" i="20"/>
  <c r="P17" i="20"/>
  <c r="P18" i="20"/>
  <c r="M34" i="20"/>
  <c r="N34" i="20" s="1" a="1"/>
  <c r="N34" i="20" s="1"/>
  <c r="O34" i="20" s="1"/>
  <c r="M35" i="20"/>
  <c r="N35" i="20" s="1" a="1"/>
  <c r="N35" i="20" s="1"/>
  <c r="O35" i="20" s="1"/>
  <c r="M36" i="20"/>
  <c r="N36" i="20" s="1" a="1"/>
  <c r="N36" i="20" s="1"/>
  <c r="O36" i="20" s="1"/>
  <c r="P34" i="20"/>
  <c r="P35" i="20"/>
  <c r="P36" i="20"/>
  <c r="T36" i="20" a="1"/>
  <c r="T36" i="20" s="1"/>
  <c r="M38" i="20"/>
  <c r="N38" i="20" s="1" a="1"/>
  <c r="N38" i="20" s="1"/>
  <c r="O38" i="20" s="1"/>
  <c r="M39" i="20"/>
  <c r="M40" i="20"/>
  <c r="T40" i="20" s="1" a="1"/>
  <c r="T40" i="20" s="1"/>
  <c r="M41" i="20"/>
  <c r="M42" i="20"/>
  <c r="T42" i="20" s="1" a="1"/>
  <c r="T42" i="20" s="1"/>
  <c r="M43" i="20"/>
  <c r="T43" i="20" s="1" a="1"/>
  <c r="T43" i="20" s="1"/>
  <c r="M44" i="20"/>
  <c r="T44" i="20" s="1" a="1"/>
  <c r="T44" i="20" s="1"/>
  <c r="M45" i="20"/>
  <c r="T45" i="20" s="1" a="1"/>
  <c r="T45" i="20" s="1"/>
  <c r="M46" i="20"/>
  <c r="T46" i="20" s="1" a="1"/>
  <c r="T46" i="20" s="1"/>
  <c r="M47" i="20"/>
  <c r="N47" i="20" s="1" a="1"/>
  <c r="N47" i="20" s="1"/>
  <c r="O47" i="20" s="1"/>
  <c r="M48" i="20"/>
  <c r="T48" i="20" s="1" a="1"/>
  <c r="T48" i="20" s="1"/>
  <c r="P38" i="20"/>
  <c r="P39" i="20"/>
  <c r="P40" i="20"/>
  <c r="P41" i="20"/>
  <c r="P42" i="20"/>
  <c r="P43" i="20"/>
  <c r="P44" i="20"/>
  <c r="P45" i="20"/>
  <c r="P46" i="20"/>
  <c r="P47" i="20"/>
  <c r="P48" i="20"/>
  <c r="M3" i="20"/>
  <c r="N3" i="20" s="1" a="1"/>
  <c r="N3" i="20" s="1"/>
  <c r="O3" i="20" s="1"/>
  <c r="M4" i="20"/>
  <c r="N4" i="20" s="1" a="1"/>
  <c r="N4" i="20" s="1"/>
  <c r="O4" i="20" s="1"/>
  <c r="M5" i="20"/>
  <c r="T5" i="20" s="1" a="1"/>
  <c r="T5" i="20" s="1"/>
  <c r="M6" i="20"/>
  <c r="T6" i="20" s="1" a="1"/>
  <c r="T6" i="20" s="1"/>
  <c r="M7" i="20"/>
  <c r="N7" i="20" s="1" a="1"/>
  <c r="N7" i="20" s="1"/>
  <c r="O7" i="20" s="1"/>
  <c r="M8" i="20"/>
  <c r="N8" i="20" s="1" a="1"/>
  <c r="N8" i="20" s="1"/>
  <c r="O8" i="20" s="1"/>
  <c r="M9" i="20"/>
  <c r="T9" i="20" s="1" a="1"/>
  <c r="T9" i="20" s="1"/>
  <c r="M10" i="20"/>
  <c r="T10" i="20" s="1" a="1"/>
  <c r="T10" i="20" s="1"/>
  <c r="M11" i="20"/>
  <c r="M12" i="20"/>
  <c r="T12" i="20" s="1" a="1"/>
  <c r="T12" i="20" s="1"/>
  <c r="M13" i="20"/>
  <c r="T13" i="20" s="1" a="1"/>
  <c r="T13" i="20" s="1"/>
  <c r="M14" i="20"/>
  <c r="M15" i="20"/>
  <c r="N15" i="20" s="1" a="1"/>
  <c r="N15" i="20" s="1"/>
  <c r="O15" i="20" s="1"/>
  <c r="M19" i="20"/>
  <c r="N19" i="20" s="1" a="1"/>
  <c r="N19" i="20" s="1"/>
  <c r="O19" i="20" s="1"/>
  <c r="M20" i="20"/>
  <c r="N20" i="20" s="1" a="1"/>
  <c r="N20" i="20" s="1"/>
  <c r="O20" i="20" s="1"/>
  <c r="M21" i="20"/>
  <c r="T21" i="20" s="1" a="1"/>
  <c r="T21" i="20" s="1"/>
  <c r="M22" i="20"/>
  <c r="T22" i="20" s="1" a="1"/>
  <c r="T22" i="20" s="1"/>
  <c r="M23" i="20"/>
  <c r="T23" i="20" s="1" a="1"/>
  <c r="T23" i="20" s="1"/>
  <c r="M24" i="20"/>
  <c r="T24" i="20" s="1" a="1"/>
  <c r="T24" i="20" s="1"/>
  <c r="M25" i="20"/>
  <c r="N25" i="20" s="1" a="1"/>
  <c r="N25" i="20" s="1"/>
  <c r="O25" i="20" s="1"/>
  <c r="M26" i="20"/>
  <c r="N26" i="20" s="1" a="1"/>
  <c r="N26" i="20" s="1"/>
  <c r="O26" i="20" s="1"/>
  <c r="M27" i="20"/>
  <c r="T27" i="20" s="1" a="1"/>
  <c r="T27" i="20" s="1"/>
  <c r="M28" i="20"/>
  <c r="N28" i="20" s="1" a="1"/>
  <c r="N28" i="20" s="1"/>
  <c r="O28" i="20" s="1"/>
  <c r="M29" i="20"/>
  <c r="N29" i="20" s="1" a="1"/>
  <c r="N29" i="20" s="1"/>
  <c r="O29" i="20" s="1"/>
  <c r="M30" i="20"/>
  <c r="N30" i="20" s="1" a="1"/>
  <c r="N30" i="20" s="1"/>
  <c r="O30" i="20" s="1"/>
  <c r="M31" i="20"/>
  <c r="N31" i="20" s="1" a="1"/>
  <c r="N31" i="20" s="1"/>
  <c r="O31" i="20" s="1"/>
  <c r="M32" i="20"/>
  <c r="N32" i="20" s="1" a="1"/>
  <c r="N32" i="20" s="1"/>
  <c r="O32" i="20" s="1"/>
  <c r="M33" i="20"/>
  <c r="T33" i="20" s="1" a="1"/>
  <c r="T33" i="20" s="1"/>
  <c r="M37" i="20"/>
  <c r="N37" i="20" s="1" a="1"/>
  <c r="N37" i="20" s="1"/>
  <c r="O37" i="20" s="1"/>
  <c r="M49" i="20"/>
  <c r="N49" i="20" s="1" a="1"/>
  <c r="N49" i="20" s="1"/>
  <c r="O49" i="20" s="1"/>
  <c r="M50" i="20"/>
  <c r="T50" i="20" s="1" a="1"/>
  <c r="T50" i="20" s="1"/>
  <c r="N22" i="20" a="1"/>
  <c r="N22" i="20" s="1"/>
  <c r="O22" i="20" s="1"/>
  <c r="N23" i="20" a="1"/>
  <c r="N23" i="20" s="1"/>
  <c r="O23" i="20" s="1"/>
  <c r="N24" i="20" a="1"/>
  <c r="N24" i="20" s="1"/>
  <c r="O24" i="20" s="1"/>
  <c r="N50" i="20" a="1"/>
  <c r="N50" i="20" s="1"/>
  <c r="O50" i="20" s="1"/>
  <c r="P3" i="20"/>
  <c r="P4" i="20"/>
  <c r="P5" i="20"/>
  <c r="P6" i="20"/>
  <c r="P7" i="20"/>
  <c r="P8" i="20"/>
  <c r="P9" i="20"/>
  <c r="P10" i="20"/>
  <c r="P11" i="20"/>
  <c r="P12" i="20"/>
  <c r="P13" i="20"/>
  <c r="P14" i="20"/>
  <c r="P15" i="20"/>
  <c r="P19" i="20"/>
  <c r="P20" i="20"/>
  <c r="P21" i="20"/>
  <c r="P22" i="20"/>
  <c r="P23" i="20"/>
  <c r="P24" i="20"/>
  <c r="P25" i="20"/>
  <c r="P26" i="20"/>
  <c r="P27" i="20"/>
  <c r="P28" i="20"/>
  <c r="P29" i="20"/>
  <c r="P30" i="20"/>
  <c r="P31" i="20"/>
  <c r="P32" i="20"/>
  <c r="P33" i="20"/>
  <c r="P37" i="20"/>
  <c r="P49" i="20"/>
  <c r="P50" i="20"/>
  <c r="Q3" i="20"/>
  <c r="R3" i="20" s="1"/>
  <c r="T8" i="20" a="1"/>
  <c r="T8" i="20" s="1"/>
  <c r="T11" i="20" a="1"/>
  <c r="T11" i="20" s="1"/>
  <c r="T19" i="20" a="1"/>
  <c r="T19" i="20" s="1"/>
  <c r="T31" i="20" a="1"/>
  <c r="T31" i="20" s="1"/>
  <c r="T32" i="20" a="1"/>
  <c r="T32" i="20" s="1"/>
  <c r="T37" i="20" a="1"/>
  <c r="T37" i="20" s="1"/>
  <c r="M44" i="18"/>
  <c r="N44" i="18" s="1" a="1"/>
  <c r="N44" i="18" s="1"/>
  <c r="O44" i="18" s="1"/>
  <c r="P44" i="18"/>
  <c r="M22" i="29"/>
  <c r="N22" i="29" s="1" a="1"/>
  <c r="N22" i="29" s="1"/>
  <c r="O22" i="29" s="1"/>
  <c r="P22" i="29"/>
  <c r="M25" i="29"/>
  <c r="N25" i="29" s="1" a="1"/>
  <c r="N25" i="29" s="1"/>
  <c r="O25" i="29" s="1"/>
  <c r="P25" i="29"/>
  <c r="M34" i="22"/>
  <c r="N34" i="22" s="1" a="1"/>
  <c r="N34" i="22" s="1"/>
  <c r="O34" i="22" s="1"/>
  <c r="P34" i="22"/>
  <c r="M40" i="29"/>
  <c r="N40" i="29" s="1" a="1"/>
  <c r="N40" i="29" s="1"/>
  <c r="O40" i="29" s="1"/>
  <c r="P40" i="29"/>
  <c r="M35" i="29"/>
  <c r="N35" i="29" s="1" a="1"/>
  <c r="N35" i="29" s="1"/>
  <c r="O35" i="29" s="1"/>
  <c r="P35" i="29"/>
  <c r="M41" i="29"/>
  <c r="N41" i="29" s="1" a="1"/>
  <c r="N41" i="29" s="1"/>
  <c r="O41" i="29" s="1"/>
  <c r="P41" i="29"/>
  <c r="M28" i="29"/>
  <c r="N28" i="29" s="1" a="1"/>
  <c r="N28" i="29" s="1"/>
  <c r="O28" i="29" s="1"/>
  <c r="P28" i="29"/>
  <c r="M27" i="29"/>
  <c r="T27" i="29" s="1" a="1"/>
  <c r="T27" i="29" s="1"/>
  <c r="P27" i="29"/>
  <c r="M26" i="29"/>
  <c r="N26" i="29" s="1" a="1"/>
  <c r="N26" i="29" s="1"/>
  <c r="O26" i="29" s="1"/>
  <c r="P26" i="29"/>
  <c r="M24" i="29"/>
  <c r="N24" i="29" s="1" a="1"/>
  <c r="N24" i="29" s="1"/>
  <c r="O24" i="29" s="1"/>
  <c r="P24" i="29"/>
  <c r="M23" i="29"/>
  <c r="N23" i="29" s="1" a="1"/>
  <c r="N23" i="29" s="1"/>
  <c r="O23" i="29" s="1"/>
  <c r="P23" i="29"/>
  <c r="M17" i="29"/>
  <c r="N17" i="29" s="1" a="1"/>
  <c r="N17" i="29" s="1"/>
  <c r="O17" i="29" s="1"/>
  <c r="P17" i="29"/>
  <c r="P43" i="29"/>
  <c r="M43" i="29"/>
  <c r="N43" i="29" s="1" a="1"/>
  <c r="N43" i="29" s="1"/>
  <c r="O43" i="29" s="1"/>
  <c r="P42" i="29"/>
  <c r="M42" i="29"/>
  <c r="N42" i="29" s="1" a="1"/>
  <c r="N42" i="29" s="1"/>
  <c r="O42" i="29" s="1"/>
  <c r="P39" i="29"/>
  <c r="P38" i="29"/>
  <c r="M38" i="29"/>
  <c r="T38" i="29" s="1" a="1"/>
  <c r="T38" i="29" s="1"/>
  <c r="P37" i="29"/>
  <c r="M37" i="29"/>
  <c r="N37" i="29" s="1" a="1"/>
  <c r="N37" i="29" s="1"/>
  <c r="O37" i="29" s="1"/>
  <c r="P36" i="29"/>
  <c r="M36" i="29"/>
  <c r="T36" i="29" s="1" a="1"/>
  <c r="T36" i="29" s="1"/>
  <c r="P34" i="29"/>
  <c r="P33" i="29"/>
  <c r="M33" i="29"/>
  <c r="N33" i="29" s="1" a="1"/>
  <c r="N33" i="29" s="1"/>
  <c r="O33" i="29" s="1"/>
  <c r="P32" i="29"/>
  <c r="M32" i="29"/>
  <c r="N32" i="29" s="1" a="1"/>
  <c r="N32" i="29" s="1"/>
  <c r="O32" i="29" s="1"/>
  <c r="P31" i="29"/>
  <c r="M31" i="29"/>
  <c r="N31" i="29" s="1" a="1"/>
  <c r="N31" i="29" s="1"/>
  <c r="O31" i="29" s="1"/>
  <c r="P30" i="29"/>
  <c r="M30" i="29"/>
  <c r="N30" i="29" s="1" a="1"/>
  <c r="N30" i="29" s="1"/>
  <c r="O30" i="29" s="1"/>
  <c r="P29" i="29"/>
  <c r="M29" i="29"/>
  <c r="T29" i="29" s="1" a="1"/>
  <c r="T29" i="29" s="1"/>
  <c r="P21" i="29"/>
  <c r="M21" i="29"/>
  <c r="N21" i="29" s="1" a="1"/>
  <c r="N21" i="29" s="1"/>
  <c r="O21" i="29" s="1"/>
  <c r="P20" i="29"/>
  <c r="M20" i="29"/>
  <c r="N20" i="29" s="1" a="1"/>
  <c r="N20" i="29" s="1"/>
  <c r="O20" i="29" s="1"/>
  <c r="P19" i="29"/>
  <c r="M19" i="29"/>
  <c r="N19" i="29" s="1" a="1"/>
  <c r="N19" i="29" s="1"/>
  <c r="O19" i="29" s="1"/>
  <c r="P18" i="29"/>
  <c r="M18" i="29"/>
  <c r="T18" i="29" s="1" a="1"/>
  <c r="T18" i="29" s="1"/>
  <c r="P16" i="29"/>
  <c r="M16" i="29"/>
  <c r="N16" i="29" s="1" a="1"/>
  <c r="N16" i="29" s="1"/>
  <c r="O16" i="29" s="1"/>
  <c r="P15" i="29"/>
  <c r="M15" i="29"/>
  <c r="N15" i="29" s="1" a="1"/>
  <c r="N15" i="29" s="1"/>
  <c r="O15" i="29" s="1"/>
  <c r="P14" i="29"/>
  <c r="M14" i="29"/>
  <c r="T14" i="29" s="1" a="1"/>
  <c r="T14" i="29" s="1"/>
  <c r="P13" i="29"/>
  <c r="P12" i="29"/>
  <c r="P11" i="29"/>
  <c r="P10" i="29"/>
  <c r="M10" i="29"/>
  <c r="N10" i="29" s="1" a="1"/>
  <c r="N10" i="29" s="1"/>
  <c r="O10" i="29" s="1"/>
  <c r="P9" i="29"/>
  <c r="M9" i="29"/>
  <c r="N9" i="29" s="1" a="1"/>
  <c r="N9" i="29" s="1"/>
  <c r="O9" i="29" s="1"/>
  <c r="P8" i="29"/>
  <c r="M8" i="29"/>
  <c r="T8" i="29" s="1" a="1"/>
  <c r="T8" i="29" s="1"/>
  <c r="P7" i="29"/>
  <c r="P6" i="29"/>
  <c r="P5" i="29"/>
  <c r="P4" i="29"/>
  <c r="M4" i="29"/>
  <c r="T4" i="29" s="1" a="1"/>
  <c r="T4" i="29" s="1"/>
  <c r="Q3" i="29"/>
  <c r="Q4" i="29" s="1"/>
  <c r="P3" i="29"/>
  <c r="M3" i="29"/>
  <c r="T3" i="29" s="1" a="1"/>
  <c r="T3" i="29" s="1"/>
  <c r="L3" i="29"/>
  <c r="L4" i="29" s="1"/>
  <c r="L5" i="29" s="1"/>
  <c r="L6" i="29" s="1"/>
  <c r="L7" i="29" s="1"/>
  <c r="L8" i="29" s="1"/>
  <c r="L9" i="29" s="1"/>
  <c r="L10" i="29" s="1"/>
  <c r="L11" i="29" s="1"/>
  <c r="L12" i="29" s="1"/>
  <c r="L13" i="29" s="1"/>
  <c r="L14" i="29" s="1"/>
  <c r="L15" i="29" s="1"/>
  <c r="L16" i="29" s="1"/>
  <c r="I1" i="29"/>
  <c r="N18" i="20" l="1" a="1"/>
  <c r="N18" i="20" s="1"/>
  <c r="O18" i="20" s="1"/>
  <c r="N17" i="20" a="1"/>
  <c r="N17" i="20" s="1"/>
  <c r="O17" i="20" s="1"/>
  <c r="T16" i="20" a="1"/>
  <c r="T16" i="20" s="1"/>
  <c r="T35" i="20" a="1"/>
  <c r="T35" i="20" s="1"/>
  <c r="T4" i="20" a="1"/>
  <c r="T4" i="20" s="1"/>
  <c r="T34" i="20" a="1"/>
  <c r="T34" i="20" s="1"/>
  <c r="N43" i="20" a="1"/>
  <c r="N43" i="20" s="1"/>
  <c r="O43" i="20" s="1"/>
  <c r="N42" i="20" a="1"/>
  <c r="N42" i="20" s="1"/>
  <c r="O42" i="20" s="1"/>
  <c r="T25" i="20" a="1"/>
  <c r="T25" i="20" s="1"/>
  <c r="N46" i="20" a="1"/>
  <c r="N46" i="20" s="1"/>
  <c r="O46" i="20" s="1"/>
  <c r="N33" i="20" a="1"/>
  <c r="N33" i="20" s="1"/>
  <c r="O33" i="20" s="1"/>
  <c r="N12" i="20" a="1"/>
  <c r="N12" i="20" s="1"/>
  <c r="O12" i="20" s="1"/>
  <c r="T3" i="20" a="1"/>
  <c r="T3" i="20" s="1"/>
  <c r="N21" i="20" a="1"/>
  <c r="N21" i="20" s="1"/>
  <c r="O21" i="20" s="1"/>
  <c r="T20" i="20" a="1"/>
  <c r="T20" i="20" s="1"/>
  <c r="T28" i="20" a="1"/>
  <c r="T28" i="20" s="1"/>
  <c r="T7" i="20" a="1"/>
  <c r="T7" i="20" s="1"/>
  <c r="T49" i="20" a="1"/>
  <c r="T49" i="20" s="1"/>
  <c r="T26" i="20" a="1"/>
  <c r="T26" i="20" s="1"/>
  <c r="N27" i="20" a="1"/>
  <c r="N27" i="20" s="1"/>
  <c r="O27" i="20" s="1"/>
  <c r="N45" i="20" a="1"/>
  <c r="N45" i="20" s="1"/>
  <c r="O45" i="20" s="1"/>
  <c r="T29" i="20" a="1"/>
  <c r="T29" i="20" s="1"/>
  <c r="T38" i="20" a="1"/>
  <c r="T38" i="20" s="1"/>
  <c r="T15" i="20" a="1"/>
  <c r="T15" i="20" s="1"/>
  <c r="T41" i="20" a="1"/>
  <c r="T41" i="20" s="1"/>
  <c r="Q4" i="20"/>
  <c r="S4" i="20" s="1"/>
  <c r="T47" i="20" a="1"/>
  <c r="T47" i="20" s="1"/>
  <c r="T39" i="20" a="1"/>
  <c r="T39" i="20" s="1"/>
  <c r="T30" i="20" a="1"/>
  <c r="T30" i="20" s="1"/>
  <c r="T14" i="20" a="1"/>
  <c r="T14" i="20" s="1"/>
  <c r="N48" i="20" a="1"/>
  <c r="N48" i="20" s="1"/>
  <c r="O48" i="20" s="1"/>
  <c r="N44" i="20" a="1"/>
  <c r="N44" i="20" s="1"/>
  <c r="O44" i="20" s="1"/>
  <c r="N40" i="20" a="1"/>
  <c r="N40" i="20" s="1"/>
  <c r="O40" i="20" s="1"/>
  <c r="S3" i="20"/>
  <c r="T44" i="18" a="1"/>
  <c r="T44" i="18" s="1"/>
  <c r="T22" i="29" a="1"/>
  <c r="T22" i="29" s="1"/>
  <c r="T25" i="29" a="1"/>
  <c r="T25" i="29" s="1"/>
  <c r="T34" i="22" a="1"/>
  <c r="T34" i="22" s="1"/>
  <c r="T40" i="29" a="1"/>
  <c r="T40" i="29" s="1"/>
  <c r="T35" i="29" a="1"/>
  <c r="T35" i="29" s="1"/>
  <c r="T41" i="29" a="1"/>
  <c r="T41" i="29" s="1"/>
  <c r="N27" i="29" a="1"/>
  <c r="N27" i="29" s="1"/>
  <c r="O27" i="29" s="1"/>
  <c r="T28" i="29" a="1"/>
  <c r="T28" i="29" s="1"/>
  <c r="T24" i="29" a="1"/>
  <c r="T24" i="29" s="1"/>
  <c r="T26" i="29" a="1"/>
  <c r="T26" i="29" s="1"/>
  <c r="T23" i="29" a="1"/>
  <c r="T23" i="29" s="1"/>
  <c r="T17" i="29" a="1"/>
  <c r="T17" i="29" s="1"/>
  <c r="L17" i="29"/>
  <c r="L18" i="29" s="1"/>
  <c r="L19" i="29" s="1"/>
  <c r="L20" i="29" s="1"/>
  <c r="L21" i="29" s="1"/>
  <c r="L22" i="29" s="1"/>
  <c r="T10" i="29" a="1"/>
  <c r="T10" i="29" s="1"/>
  <c r="S3" i="29"/>
  <c r="Q5" i="29"/>
  <c r="S4" i="29"/>
  <c r="R4" i="29"/>
  <c r="K4" i="29"/>
  <c r="T19" i="29" a="1"/>
  <c r="T19" i="29" s="1"/>
  <c r="T32" i="29" a="1"/>
  <c r="T32" i="29" s="1"/>
  <c r="N4" i="29" a="1"/>
  <c r="N4" i="29" s="1"/>
  <c r="O4" i="29" s="1"/>
  <c r="N8" i="29" a="1"/>
  <c r="N8" i="29" s="1"/>
  <c r="O8" i="29" s="1"/>
  <c r="N14" i="29" a="1"/>
  <c r="N14" i="29" s="1"/>
  <c r="O14" i="29" s="1"/>
  <c r="N29" i="29" a="1"/>
  <c r="N29" i="29" s="1"/>
  <c r="O29" i="29" s="1"/>
  <c r="N36" i="29" a="1"/>
  <c r="N36" i="29" s="1"/>
  <c r="O36" i="29" s="1"/>
  <c r="N38" i="29" a="1"/>
  <c r="N38" i="29" s="1"/>
  <c r="O38" i="29" s="1"/>
  <c r="R3" i="29"/>
  <c r="T9" i="29" a="1"/>
  <c r="T9" i="29" s="1"/>
  <c r="T15" i="29" a="1"/>
  <c r="T15" i="29" s="1"/>
  <c r="T20" i="29" a="1"/>
  <c r="T20" i="29" s="1"/>
  <c r="T30" i="29" a="1"/>
  <c r="T30" i="29" s="1"/>
  <c r="T31" i="29" a="1"/>
  <c r="T31" i="29" s="1"/>
  <c r="T37" i="29" a="1"/>
  <c r="T37" i="29" s="1"/>
  <c r="T42" i="29" a="1"/>
  <c r="T42" i="29" s="1"/>
  <c r="N18" i="29" a="1"/>
  <c r="N18" i="29" s="1"/>
  <c r="O18" i="29" s="1"/>
  <c r="N3" i="29" a="1"/>
  <c r="N3" i="29" s="1"/>
  <c r="O3" i="29" s="1"/>
  <c r="T16" i="29" a="1"/>
  <c r="T16" i="29" s="1"/>
  <c r="T21" i="29" a="1"/>
  <c r="T21" i="29" s="1"/>
  <c r="T33" i="29" a="1"/>
  <c r="T33" i="29" s="1"/>
  <c r="T43" i="29" a="1"/>
  <c r="T43" i="29" s="1"/>
  <c r="M29" i="27"/>
  <c r="N29" i="27" s="1" a="1"/>
  <c r="N29" i="27" s="1"/>
  <c r="O29" i="27" s="1"/>
  <c r="P29" i="27"/>
  <c r="J4" i="10"/>
  <c r="N5" i="20" s="1" a="1"/>
  <c r="N5" i="20" s="1"/>
  <c r="O5" i="20" s="1"/>
  <c r="J5" i="10"/>
  <c r="J6" i="10"/>
  <c r="N10" i="20" s="1" a="1"/>
  <c r="N10" i="20" s="1"/>
  <c r="O10" i="20" s="1"/>
  <c r="J7" i="10"/>
  <c r="N9" i="20" s="1" a="1"/>
  <c r="N9" i="20" s="1"/>
  <c r="O9" i="20" s="1"/>
  <c r="J16" i="10"/>
  <c r="J36" i="10"/>
  <c r="J21" i="10"/>
  <c r="J25" i="10"/>
  <c r="J33" i="10"/>
  <c r="J8" i="10"/>
  <c r="J28" i="10"/>
  <c r="J24" i="10"/>
  <c r="J23" i="10"/>
  <c r="J20" i="10"/>
  <c r="J38" i="10"/>
  <c r="J35" i="10"/>
  <c r="J32" i="10"/>
  <c r="J9" i="10"/>
  <c r="J17" i="10"/>
  <c r="J37" i="10"/>
  <c r="J15" i="10"/>
  <c r="J22" i="10"/>
  <c r="J26" i="10"/>
  <c r="J34" i="10"/>
  <c r="J19" i="10"/>
  <c r="J29" i="10"/>
  <c r="N14" i="20" s="1" a="1"/>
  <c r="N14" i="20" s="1"/>
  <c r="O14" i="20" s="1"/>
  <c r="J31" i="10"/>
  <c r="J30" i="10"/>
  <c r="N13" i="20" s="1" a="1"/>
  <c r="N13" i="20" s="1"/>
  <c r="O13" i="20" s="1"/>
  <c r="J10" i="10"/>
  <c r="J11" i="10"/>
  <c r="N11" i="20" s="1" a="1"/>
  <c r="N11" i="20" s="1"/>
  <c r="O11" i="20" s="1"/>
  <c r="J18" i="10"/>
  <c r="J27" i="10"/>
  <c r="J12" i="10"/>
  <c r="N6" i="20" s="1" a="1"/>
  <c r="N6" i="20" s="1"/>
  <c r="O6" i="20" s="1"/>
  <c r="J13" i="10"/>
  <c r="N41" i="20" s="1" a="1"/>
  <c r="N41" i="20" s="1"/>
  <c r="O41" i="20" s="1"/>
  <c r="J14" i="10"/>
  <c r="N39" i="20" s="1" a="1"/>
  <c r="N39" i="20" s="1"/>
  <c r="O39" i="20" s="1"/>
  <c r="N3" i="13"/>
  <c r="N5" i="13"/>
  <c r="N6" i="13"/>
  <c r="N7" i="13"/>
  <c r="N8" i="13"/>
  <c r="N9" i="13"/>
  <c r="N11" i="13"/>
  <c r="N12" i="13"/>
  <c r="N13" i="13"/>
  <c r="N14" i="13"/>
  <c r="N15" i="13"/>
  <c r="N16" i="13"/>
  <c r="N17" i="13"/>
  <c r="N18" i="13"/>
  <c r="N19" i="13"/>
  <c r="N20" i="13"/>
  <c r="N21" i="13"/>
  <c r="N22" i="13"/>
  <c r="N23" i="13"/>
  <c r="N24" i="13"/>
  <c r="N25" i="13"/>
  <c r="N26" i="13"/>
  <c r="N27" i="13"/>
  <c r="N28" i="13"/>
  <c r="N30" i="13"/>
  <c r="N32" i="13"/>
  <c r="N33" i="13"/>
  <c r="N34" i="13"/>
  <c r="N35" i="13"/>
  <c r="N36" i="13"/>
  <c r="N37" i="13"/>
  <c r="N38" i="13"/>
  <c r="N39" i="13"/>
  <c r="N40" i="13"/>
  <c r="N41" i="13"/>
  <c r="N43" i="13"/>
  <c r="N44" i="13"/>
  <c r="N45" i="13"/>
  <c r="N46" i="13"/>
  <c r="N47" i="13"/>
  <c r="N48" i="13"/>
  <c r="N49" i="13"/>
  <c r="C2" i="28"/>
  <c r="M31" i="16"/>
  <c r="N31" i="16" s="1" a="1"/>
  <c r="N31" i="16" s="1"/>
  <c r="O31" i="16" s="1"/>
  <c r="P31" i="16"/>
  <c r="M32" i="16"/>
  <c r="N32" i="16" s="1" a="1"/>
  <c r="N32" i="16" s="1"/>
  <c r="O32" i="16" s="1"/>
  <c r="P32" i="16"/>
  <c r="H32" i="10"/>
  <c r="I32" i="10"/>
  <c r="H35" i="10"/>
  <c r="I35" i="10"/>
  <c r="H38" i="10"/>
  <c r="I38" i="10"/>
  <c r="M30" i="27"/>
  <c r="T30" i="27" s="1" a="1"/>
  <c r="T30" i="27" s="1"/>
  <c r="M31" i="27"/>
  <c r="N31" i="27" s="1" a="1"/>
  <c r="N31" i="27" s="1"/>
  <c r="O31" i="27" s="1"/>
  <c r="M32" i="27"/>
  <c r="N32" i="27" s="1" a="1"/>
  <c r="N32" i="27" s="1"/>
  <c r="O32" i="27" s="1"/>
  <c r="M33" i="27"/>
  <c r="T33" i="27" s="1" a="1"/>
  <c r="T33" i="27" s="1"/>
  <c r="P30" i="27"/>
  <c r="P31" i="27"/>
  <c r="P32" i="27"/>
  <c r="P33" i="27"/>
  <c r="H17" i="10"/>
  <c r="H16" i="10"/>
  <c r="H18" i="10"/>
  <c r="I17" i="10"/>
  <c r="I16" i="10"/>
  <c r="I18" i="10"/>
  <c r="M3" i="18"/>
  <c r="M4" i="18"/>
  <c r="M10" i="18"/>
  <c r="M11" i="18"/>
  <c r="M12" i="18"/>
  <c r="M17"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5" i="18"/>
  <c r="M46" i="18"/>
  <c r="M47" i="18"/>
  <c r="M48" i="18"/>
  <c r="M49" i="18"/>
  <c r="M50" i="18"/>
  <c r="M51" i="18"/>
  <c r="M52" i="18"/>
  <c r="M53" i="18"/>
  <c r="M3" i="23"/>
  <c r="M4" i="23"/>
  <c r="M5" i="23"/>
  <c r="M6" i="23"/>
  <c r="M7" i="23"/>
  <c r="M8" i="23"/>
  <c r="M11" i="23"/>
  <c r="M12" i="23"/>
  <c r="M13" i="23"/>
  <c r="M15" i="23"/>
  <c r="M16" i="23"/>
  <c r="M17" i="23"/>
  <c r="M18" i="23"/>
  <c r="M19" i="23"/>
  <c r="M20" i="23"/>
  <c r="M21" i="23"/>
  <c r="M22" i="23"/>
  <c r="M24" i="23"/>
  <c r="M25" i="23"/>
  <c r="M26" i="23"/>
  <c r="M27" i="23"/>
  <c r="M28" i="23"/>
  <c r="M28" i="16"/>
  <c r="N28" i="16" s="1" a="1"/>
  <c r="N28" i="16" s="1"/>
  <c r="O28" i="16" s="1"/>
  <c r="P28" i="16"/>
  <c r="M3" i="16"/>
  <c r="M4" i="16"/>
  <c r="M7" i="16"/>
  <c r="M8" i="16"/>
  <c r="M12" i="16"/>
  <c r="M15" i="16"/>
  <c r="M16" i="16"/>
  <c r="M17" i="16"/>
  <c r="M18" i="16"/>
  <c r="M19" i="16"/>
  <c r="M20" i="16"/>
  <c r="M21" i="16"/>
  <c r="M22" i="16"/>
  <c r="M23" i="16"/>
  <c r="M24" i="16"/>
  <c r="M25" i="16"/>
  <c r="M26" i="16"/>
  <c r="M27" i="16"/>
  <c r="M29" i="16"/>
  <c r="M30" i="16"/>
  <c r="N30" i="16" s="1" a="1"/>
  <c r="N30" i="16" s="1"/>
  <c r="O30" i="16" s="1"/>
  <c r="M33" i="16"/>
  <c r="M3" i="21"/>
  <c r="M4" i="21"/>
  <c r="M8" i="21"/>
  <c r="M9" i="21"/>
  <c r="M10" i="21"/>
  <c r="M14" i="21"/>
  <c r="M15" i="21"/>
  <c r="M16" i="21"/>
  <c r="M17" i="21"/>
  <c r="M18" i="21"/>
  <c r="M19" i="21"/>
  <c r="M20" i="21"/>
  <c r="M21" i="21"/>
  <c r="M22" i="21"/>
  <c r="M23" i="21"/>
  <c r="M24" i="21"/>
  <c r="M25" i="21"/>
  <c r="M26" i="21"/>
  <c r="M27" i="21"/>
  <c r="M28" i="21"/>
  <c r="M30" i="21"/>
  <c r="M31" i="21"/>
  <c r="M32" i="21"/>
  <c r="N32" i="21" s="1" a="1"/>
  <c r="N32" i="21" s="1"/>
  <c r="O32" i="21" s="1"/>
  <c r="M34" i="21"/>
  <c r="M35" i="21"/>
  <c r="M36" i="21"/>
  <c r="P32" i="21"/>
  <c r="P30" i="16"/>
  <c r="Q5" i="20" l="1"/>
  <c r="R5" i="20" s="1"/>
  <c r="R4" i="20"/>
  <c r="L23" i="29"/>
  <c r="K3" i="29"/>
  <c r="Q6" i="29"/>
  <c r="S5" i="29"/>
  <c r="R5" i="29"/>
  <c r="K5" i="29"/>
  <c r="M5" i="29" s="1"/>
  <c r="T29" i="27" a="1"/>
  <c r="T29" i="27" s="1"/>
  <c r="T31" i="16" a="1"/>
  <c r="T31" i="16" s="1"/>
  <c r="T32" i="16" a="1"/>
  <c r="T32" i="16" s="1"/>
  <c r="N33" i="27" a="1"/>
  <c r="N33" i="27" s="1"/>
  <c r="O33" i="27" s="1"/>
  <c r="T31" i="27" a="1"/>
  <c r="T31" i="27" s="1"/>
  <c r="N30" i="27" a="1"/>
  <c r="N30" i="27" s="1"/>
  <c r="O30" i="27" s="1"/>
  <c r="T32" i="27" a="1"/>
  <c r="T32" i="27" s="1"/>
  <c r="T28" i="16" a="1"/>
  <c r="T28" i="16" s="1"/>
  <c r="T30" i="16" a="1"/>
  <c r="T30" i="16" s="1"/>
  <c r="T32" i="21" a="1"/>
  <c r="T32" i="21" s="1"/>
  <c r="S5" i="20" l="1"/>
  <c r="Q6" i="20"/>
  <c r="R6" i="20" s="1"/>
  <c r="L24" i="29"/>
  <c r="L25" i="29" s="1"/>
  <c r="T5" i="29" a="1"/>
  <c r="T5" i="29" s="1"/>
  <c r="N5" i="29" a="1"/>
  <c r="N5" i="29" s="1"/>
  <c r="O5" i="29" s="1"/>
  <c r="S6" i="29"/>
  <c r="R6" i="29"/>
  <c r="K6" i="29"/>
  <c r="M6" i="29" s="1"/>
  <c r="Q7" i="29"/>
  <c r="H36" i="10"/>
  <c r="I36" i="10"/>
  <c r="H37" i="10"/>
  <c r="I37" i="10"/>
  <c r="M28" i="27"/>
  <c r="T28" i="27" s="1" a="1"/>
  <c r="T28" i="27" s="1"/>
  <c r="P28" i="27"/>
  <c r="M25" i="27"/>
  <c r="N25" i="27" s="1" a="1"/>
  <c r="N25" i="27" s="1"/>
  <c r="O25" i="27" s="1"/>
  <c r="P25" i="27"/>
  <c r="M26" i="27"/>
  <c r="N26" i="27" s="1" a="1"/>
  <c r="N26" i="27" s="1"/>
  <c r="O26" i="27" s="1"/>
  <c r="M27" i="27"/>
  <c r="N27" i="27" s="1" a="1"/>
  <c r="N27" i="27" s="1"/>
  <c r="O27" i="27" s="1"/>
  <c r="M34" i="27"/>
  <c r="N34" i="27" s="1" a="1"/>
  <c r="N34" i="27" s="1"/>
  <c r="O34" i="27" s="1"/>
  <c r="P26" i="27"/>
  <c r="P27" i="27"/>
  <c r="P34" i="27"/>
  <c r="M24" i="27"/>
  <c r="N24" i="27" s="1" a="1"/>
  <c r="N24" i="27" s="1"/>
  <c r="O24" i="27" s="1"/>
  <c r="P24" i="27"/>
  <c r="P36" i="27"/>
  <c r="M36" i="27"/>
  <c r="N36" i="27" s="1" a="1"/>
  <c r="N36" i="27" s="1"/>
  <c r="O36" i="27" s="1"/>
  <c r="P35" i="27"/>
  <c r="M35" i="27"/>
  <c r="N35" i="27" s="1" a="1"/>
  <c r="N35" i="27" s="1"/>
  <c r="O35" i="27" s="1"/>
  <c r="P23" i="27"/>
  <c r="M23" i="27"/>
  <c r="N23" i="27" s="1" a="1"/>
  <c r="N23" i="27" s="1"/>
  <c r="O23" i="27" s="1"/>
  <c r="P22" i="27"/>
  <c r="M22" i="27"/>
  <c r="N22" i="27" s="1" a="1"/>
  <c r="N22" i="27" s="1"/>
  <c r="O22" i="27" s="1"/>
  <c r="P21" i="27"/>
  <c r="M21" i="27"/>
  <c r="N21" i="27" s="1" a="1"/>
  <c r="N21" i="27" s="1"/>
  <c r="O21" i="27" s="1"/>
  <c r="P20" i="27"/>
  <c r="M20" i="27"/>
  <c r="N20" i="27" s="1" a="1"/>
  <c r="N20" i="27" s="1"/>
  <c r="O20" i="27" s="1"/>
  <c r="P19" i="27"/>
  <c r="M19" i="27"/>
  <c r="N19" i="27" s="1" a="1"/>
  <c r="N19" i="27" s="1"/>
  <c r="O19" i="27" s="1"/>
  <c r="P18" i="27"/>
  <c r="M18" i="27"/>
  <c r="N18" i="27" s="1" a="1"/>
  <c r="N18" i="27" s="1"/>
  <c r="O18" i="27" s="1"/>
  <c r="P17" i="27"/>
  <c r="M17" i="27"/>
  <c r="N17" i="27" s="1" a="1"/>
  <c r="N17" i="27" s="1"/>
  <c r="O17" i="27" s="1"/>
  <c r="P16" i="27"/>
  <c r="P15" i="27"/>
  <c r="P14" i="27"/>
  <c r="P13" i="27"/>
  <c r="P12" i="27"/>
  <c r="M12" i="27"/>
  <c r="N12" i="27" s="1" a="1"/>
  <c r="N12" i="27" s="1"/>
  <c r="O12" i="27" s="1"/>
  <c r="P11" i="27"/>
  <c r="P10" i="27"/>
  <c r="P9" i="27"/>
  <c r="M9" i="27"/>
  <c r="T9" i="27" s="1" a="1"/>
  <c r="T9" i="27" s="1"/>
  <c r="P8" i="27"/>
  <c r="M8" i="27"/>
  <c r="T8" i="27" s="1" a="1"/>
  <c r="T8" i="27" s="1"/>
  <c r="P7" i="27"/>
  <c r="P6" i="27"/>
  <c r="P5" i="27"/>
  <c r="P4" i="27"/>
  <c r="M4" i="27"/>
  <c r="T4" i="27" s="1" a="1"/>
  <c r="T4" i="27" s="1"/>
  <c r="Q3" i="27"/>
  <c r="Q4" i="27" s="1"/>
  <c r="P3" i="27"/>
  <c r="M3" i="27"/>
  <c r="T3" i="27" s="1" a="1"/>
  <c r="T3" i="27" s="1"/>
  <c r="L3" i="27"/>
  <c r="L4" i="27" s="1"/>
  <c r="L5" i="27" s="1"/>
  <c r="L6" i="27" s="1"/>
  <c r="L7" i="27" s="1"/>
  <c r="L8" i="27" s="1"/>
  <c r="L9" i="27" s="1"/>
  <c r="L10" i="27" s="1"/>
  <c r="L11" i="27" s="1"/>
  <c r="L12" i="27" s="1"/>
  <c r="L13" i="27" s="1"/>
  <c r="L14" i="27" s="1"/>
  <c r="L15" i="27" s="1"/>
  <c r="L16" i="27" s="1"/>
  <c r="L17" i="27" s="1"/>
  <c r="L18" i="27" s="1"/>
  <c r="L19" i="27" s="1"/>
  <c r="L20" i="27" s="1"/>
  <c r="L21" i="27" s="1"/>
  <c r="L22" i="27" s="1"/>
  <c r="L23" i="27" s="1"/>
  <c r="I1" i="27"/>
  <c r="Q7" i="20" l="1"/>
  <c r="R7" i="20" s="1"/>
  <c r="S6" i="20"/>
  <c r="L26" i="29"/>
  <c r="N6" i="29" a="1"/>
  <c r="N6" i="29" s="1"/>
  <c r="O6" i="29" s="1"/>
  <c r="T6" i="29" a="1"/>
  <c r="T6" i="29" s="1"/>
  <c r="S7" i="29"/>
  <c r="Q8" i="29"/>
  <c r="R7" i="29"/>
  <c r="K7" i="29"/>
  <c r="M7" i="29" s="1"/>
  <c r="T26" i="27" a="1"/>
  <c r="T26" i="27" s="1"/>
  <c r="T34" i="27" a="1"/>
  <c r="T34" i="27" s="1"/>
  <c r="N28" i="27" a="1"/>
  <c r="N28" i="27" s="1"/>
  <c r="O28" i="27" s="1"/>
  <c r="T27" i="27" a="1"/>
  <c r="T27" i="27" s="1"/>
  <c r="T25" i="27" a="1"/>
  <c r="T25" i="27" s="1"/>
  <c r="T24" i="27" a="1"/>
  <c r="T24" i="27" s="1"/>
  <c r="L24" i="27"/>
  <c r="T23" i="27" a="1"/>
  <c r="T23" i="27" s="1"/>
  <c r="T12" i="27" a="1"/>
  <c r="T12" i="27" s="1"/>
  <c r="N9" i="27" a="1"/>
  <c r="N9" i="27" s="1"/>
  <c r="O9" i="27" s="1"/>
  <c r="T20" i="27" a="1"/>
  <c r="T20" i="27" s="1"/>
  <c r="T17" i="27" a="1"/>
  <c r="T17" i="27" s="1"/>
  <c r="T18" i="27" a="1"/>
  <c r="T18" i="27" s="1"/>
  <c r="T22" i="27" a="1"/>
  <c r="T22" i="27" s="1"/>
  <c r="R4" i="27"/>
  <c r="K4" i="27"/>
  <c r="S4" i="27"/>
  <c r="Q5" i="27"/>
  <c r="N8" i="27" a="1"/>
  <c r="N8" i="27" s="1"/>
  <c r="O8" i="27" s="1"/>
  <c r="T19" i="27" a="1"/>
  <c r="T19" i="27" s="1"/>
  <c r="T21" i="27" a="1"/>
  <c r="T21" i="27" s="1"/>
  <c r="S3" i="27"/>
  <c r="R3" i="27"/>
  <c r="N3" i="27" a="1"/>
  <c r="N3" i="27" s="1"/>
  <c r="O3" i="27" s="1"/>
  <c r="N4" i="27" a="1"/>
  <c r="N4" i="27" s="1"/>
  <c r="O4" i="27" s="1"/>
  <c r="T35" i="27" a="1"/>
  <c r="T35" i="27" s="1"/>
  <c r="T36" i="27" a="1"/>
  <c r="T36" i="27" s="1"/>
  <c r="H15" i="10"/>
  <c r="I15" i="10"/>
  <c r="H8" i="10"/>
  <c r="I8" i="10"/>
  <c r="H24" i="10"/>
  <c r="I24" i="10"/>
  <c r="H20" i="10"/>
  <c r="I20" i="10"/>
  <c r="H13" i="10"/>
  <c r="I13" i="10"/>
  <c r="H23" i="10"/>
  <c r="I23" i="10"/>
  <c r="H28" i="10"/>
  <c r="I28" i="10"/>
  <c r="Q8" i="20" l="1"/>
  <c r="Q9" i="20" s="1"/>
  <c r="S7" i="20"/>
  <c r="L27" i="29"/>
  <c r="T7" i="29" a="1"/>
  <c r="T7" i="29" s="1"/>
  <c r="N7" i="29" a="1"/>
  <c r="N7" i="29" s="1"/>
  <c r="O7" i="29" s="1"/>
  <c r="Q9" i="29"/>
  <c r="S8" i="29"/>
  <c r="R8" i="29"/>
  <c r="K8" i="29"/>
  <c r="L25" i="27"/>
  <c r="L26" i="27" s="1"/>
  <c r="L27" i="27" s="1"/>
  <c r="K3" i="27"/>
  <c r="S5" i="27"/>
  <c r="R5" i="27"/>
  <c r="K5" i="27"/>
  <c r="Q6" i="27"/>
  <c r="N53" i="18" a="1"/>
  <c r="N53" i="18" s="1"/>
  <c r="O53" i="18" s="1"/>
  <c r="P53" i="18"/>
  <c r="N46" i="18" a="1"/>
  <c r="N46" i="18" s="1"/>
  <c r="O46" i="18" s="1"/>
  <c r="P46" i="18"/>
  <c r="M3" i="5"/>
  <c r="M4" i="5"/>
  <c r="M8" i="5"/>
  <c r="M9" i="5"/>
  <c r="M12" i="5"/>
  <c r="M17" i="5"/>
  <c r="M19" i="5"/>
  <c r="M20" i="5"/>
  <c r="M21" i="5"/>
  <c r="M22" i="5"/>
  <c r="M23" i="5"/>
  <c r="M24" i="5"/>
  <c r="M25" i="5"/>
  <c r="M26" i="5"/>
  <c r="M27" i="5"/>
  <c r="M28" i="5"/>
  <c r="M29" i="5"/>
  <c r="M30" i="5"/>
  <c r="M31" i="5"/>
  <c r="M32" i="5"/>
  <c r="M33" i="5"/>
  <c r="M34" i="5"/>
  <c r="M35" i="5"/>
  <c r="M36" i="5"/>
  <c r="M37" i="5"/>
  <c r="M38" i="5"/>
  <c r="M39" i="5"/>
  <c r="M40" i="5"/>
  <c r="M41" i="5"/>
  <c r="M42" i="5"/>
  <c r="M43" i="5"/>
  <c r="M44" i="5"/>
  <c r="M46" i="5"/>
  <c r="M47" i="5"/>
  <c r="M48" i="5"/>
  <c r="M49" i="5"/>
  <c r="M50" i="5"/>
  <c r="M51" i="5"/>
  <c r="M52" i="5"/>
  <c r="M53" i="5"/>
  <c r="R8" i="20" l="1"/>
  <c r="S8" i="20"/>
  <c r="R9" i="20"/>
  <c r="Q10" i="20"/>
  <c r="S9" i="20"/>
  <c r="L28" i="29"/>
  <c r="L29" i="29" s="1"/>
  <c r="L30" i="29" s="1"/>
  <c r="L31" i="29" s="1"/>
  <c r="L32" i="29" s="1"/>
  <c r="L33" i="29" s="1"/>
  <c r="L34" i="29" s="1"/>
  <c r="Q10" i="29"/>
  <c r="S9" i="29"/>
  <c r="R9" i="29"/>
  <c r="K9" i="29"/>
  <c r="L28" i="27"/>
  <c r="L29" i="27" s="1"/>
  <c r="R6" i="27"/>
  <c r="K6" i="27"/>
  <c r="S6" i="27"/>
  <c r="Q7" i="27"/>
  <c r="T53" i="18" a="1"/>
  <c r="T53" i="18" s="1"/>
  <c r="T46" i="18" a="1"/>
  <c r="T46" i="18" s="1"/>
  <c r="N8" i="23" a="1"/>
  <c r="N8" i="23" s="1"/>
  <c r="O8" i="23" s="1"/>
  <c r="P8" i="23"/>
  <c r="N11" i="18" a="1"/>
  <c r="N11" i="18" s="1"/>
  <c r="O11" i="18" s="1"/>
  <c r="P11" i="18"/>
  <c r="N8" i="16" a="1"/>
  <c r="N8" i="16" s="1"/>
  <c r="O8" i="16" s="1"/>
  <c r="P8" i="16"/>
  <c r="M9" i="22"/>
  <c r="N9" i="22" s="1" a="1"/>
  <c r="N9" i="22" s="1"/>
  <c r="O9" i="22" s="1"/>
  <c r="P9" i="22"/>
  <c r="N9" i="21" a="1"/>
  <c r="N9" i="21" s="1"/>
  <c r="O9" i="21" s="1"/>
  <c r="P9" i="21"/>
  <c r="T9" i="5" a="1"/>
  <c r="T9" i="5" s="1"/>
  <c r="N9" i="5" a="1"/>
  <c r="N9" i="5" s="1"/>
  <c r="O9" i="5" s="1"/>
  <c r="P9" i="5"/>
  <c r="S10" i="20" l="1"/>
  <c r="R10" i="20"/>
  <c r="Q11" i="20"/>
  <c r="L35" i="29"/>
  <c r="L36" i="29" s="1"/>
  <c r="L37" i="29" s="1"/>
  <c r="L38" i="29" s="1"/>
  <c r="L39" i="29" s="1"/>
  <c r="S10" i="29"/>
  <c r="R10" i="29"/>
  <c r="K10" i="29"/>
  <c r="Q11" i="29"/>
  <c r="L30" i="27"/>
  <c r="L31" i="27" s="1"/>
  <c r="L32" i="27" s="1"/>
  <c r="L33" i="27" s="1"/>
  <c r="L34" i="27" s="1"/>
  <c r="L35" i="27" s="1"/>
  <c r="L36" i="27" s="1"/>
  <c r="S7" i="27"/>
  <c r="R7" i="27"/>
  <c r="K7" i="27"/>
  <c r="Q8" i="27"/>
  <c r="T8" i="23" a="1"/>
  <c r="T8" i="23" s="1"/>
  <c r="T11" i="18" a="1"/>
  <c r="T11" i="18" s="1"/>
  <c r="T8" i="16" a="1"/>
  <c r="T8" i="16" s="1"/>
  <c r="T9" i="22" a="1"/>
  <c r="T9" i="22" s="1"/>
  <c r="T9" i="21" a="1"/>
  <c r="T9" i="21" s="1"/>
  <c r="N8" i="5" a="1"/>
  <c r="N8" i="5" s="1"/>
  <c r="O8" i="5" s="1"/>
  <c r="P8" i="5"/>
  <c r="N7" i="16" a="1"/>
  <c r="N7" i="16" s="1"/>
  <c r="O7" i="16" s="1"/>
  <c r="P7" i="16"/>
  <c r="N10" i="18" a="1"/>
  <c r="N10" i="18" s="1"/>
  <c r="O10" i="18" s="1"/>
  <c r="P10" i="18"/>
  <c r="N7" i="23" a="1"/>
  <c r="N7" i="23" s="1"/>
  <c r="O7" i="23" s="1"/>
  <c r="P7" i="23"/>
  <c r="M8" i="22"/>
  <c r="N8" i="22" s="1" a="1"/>
  <c r="N8" i="22" s="1"/>
  <c r="O8" i="22" s="1"/>
  <c r="P8" i="22"/>
  <c r="N8" i="21" a="1"/>
  <c r="N8" i="21" s="1"/>
  <c r="O8" i="21" s="1"/>
  <c r="P8" i="21"/>
  <c r="H19" i="10"/>
  <c r="I19" i="10"/>
  <c r="H31" i="10"/>
  <c r="I31" i="10"/>
  <c r="M29" i="22"/>
  <c r="T29" i="22" s="1" a="1"/>
  <c r="T29" i="22" s="1"/>
  <c r="P29" i="22"/>
  <c r="H33" i="10"/>
  <c r="I33" i="10"/>
  <c r="H34" i="10"/>
  <c r="I34" i="10"/>
  <c r="H21" i="10"/>
  <c r="I21" i="10"/>
  <c r="H22" i="10"/>
  <c r="I22" i="10"/>
  <c r="N20" i="5" a="1"/>
  <c r="N20" i="5" s="1"/>
  <c r="O20" i="5" s="1"/>
  <c r="P20" i="5"/>
  <c r="N22" i="23" a="1"/>
  <c r="N22" i="23" s="1"/>
  <c r="O22" i="23" s="1"/>
  <c r="N24" i="23" a="1"/>
  <c r="N24" i="23" s="1"/>
  <c r="O24" i="23" s="1"/>
  <c r="T25" i="23" a="1"/>
  <c r="T25" i="23" s="1"/>
  <c r="P22" i="23"/>
  <c r="P23" i="23"/>
  <c r="P24" i="23"/>
  <c r="P25" i="23"/>
  <c r="T19" i="23" a="1"/>
  <c r="T19" i="23" s="1"/>
  <c r="P19" i="23"/>
  <c r="T12" i="23" a="1"/>
  <c r="T12" i="23" s="1"/>
  <c r="P12" i="23"/>
  <c r="N11" i="23" a="1"/>
  <c r="N11" i="23" s="1"/>
  <c r="O11" i="23" s="1"/>
  <c r="N13" i="23" a="1"/>
  <c r="N13" i="23" s="1"/>
  <c r="O13" i="23" s="1"/>
  <c r="P9" i="23"/>
  <c r="P10" i="23"/>
  <c r="P11" i="23"/>
  <c r="P13" i="23"/>
  <c r="N4" i="23" a="1"/>
  <c r="N4" i="23" s="1"/>
  <c r="O4" i="23" s="1"/>
  <c r="P4" i="23"/>
  <c r="P28" i="23"/>
  <c r="N28" i="23" a="1"/>
  <c r="N28" i="23" s="1"/>
  <c r="O28" i="23" s="1"/>
  <c r="P27" i="23"/>
  <c r="N27" i="23" a="1"/>
  <c r="N27" i="23" s="1"/>
  <c r="O27" i="23" s="1"/>
  <c r="P26" i="23"/>
  <c r="N26" i="23" a="1"/>
  <c r="N26" i="23" s="1"/>
  <c r="O26" i="23" s="1"/>
  <c r="P21" i="23"/>
  <c r="N21" i="23" a="1"/>
  <c r="N21" i="23" s="1"/>
  <c r="O21" i="23" s="1"/>
  <c r="P20" i="23"/>
  <c r="N20" i="23" a="1"/>
  <c r="N20" i="23" s="1"/>
  <c r="O20" i="23" s="1"/>
  <c r="P18" i="23"/>
  <c r="N18" i="23" a="1"/>
  <c r="N18" i="23" s="1"/>
  <c r="O18" i="23" s="1"/>
  <c r="P17" i="23"/>
  <c r="N17" i="23" a="1"/>
  <c r="N17" i="23" s="1"/>
  <c r="O17" i="23" s="1"/>
  <c r="P16" i="23"/>
  <c r="N16" i="23" a="1"/>
  <c r="N16" i="23" s="1"/>
  <c r="O16" i="23" s="1"/>
  <c r="P15" i="23"/>
  <c r="N15" i="23" a="1"/>
  <c r="N15" i="23" s="1"/>
  <c r="O15" i="23" s="1"/>
  <c r="P14" i="23"/>
  <c r="P6" i="23"/>
  <c r="N6" i="23" a="1"/>
  <c r="N6" i="23" s="1"/>
  <c r="O6" i="23" s="1"/>
  <c r="P5" i="23"/>
  <c r="N5" i="23" a="1"/>
  <c r="N5" i="23" s="1"/>
  <c r="O5" i="23" s="1"/>
  <c r="Q3" i="23"/>
  <c r="S3" i="23" s="1"/>
  <c r="P3" i="23"/>
  <c r="N3" i="23" a="1"/>
  <c r="N3" i="23" s="1"/>
  <c r="O3" i="23" s="1"/>
  <c r="L3" i="23"/>
  <c r="I1" i="23"/>
  <c r="N25" i="18" a="1"/>
  <c r="N25" i="18" s="1"/>
  <c r="O25" i="18" s="1"/>
  <c r="P25" i="18"/>
  <c r="N28" i="21" a="1"/>
  <c r="N28" i="21" s="1"/>
  <c r="O28" i="21" s="1"/>
  <c r="P28" i="21"/>
  <c r="S11" i="20" l="1"/>
  <c r="R11" i="20"/>
  <c r="Q12" i="20"/>
  <c r="L40" i="29"/>
  <c r="L41" i="29" s="1"/>
  <c r="L42" i="29" s="1"/>
  <c r="L43" i="29" s="1"/>
  <c r="Q12" i="29"/>
  <c r="S11" i="29"/>
  <c r="R11" i="29"/>
  <c r="K11" i="29"/>
  <c r="M11" i="29" s="1"/>
  <c r="Q9" i="27"/>
  <c r="R8" i="27"/>
  <c r="K8" i="27"/>
  <c r="S8" i="27"/>
  <c r="T10" i="18" a="1"/>
  <c r="T10" i="18" s="1"/>
  <c r="T7" i="16" a="1"/>
  <c r="T7" i="16" s="1"/>
  <c r="T8" i="5" a="1"/>
  <c r="T8" i="5" s="1"/>
  <c r="T7" i="23" a="1"/>
  <c r="T7" i="23" s="1"/>
  <c r="T8" i="22" a="1"/>
  <c r="T8" i="22" s="1"/>
  <c r="T8" i="21" a="1"/>
  <c r="T8" i="21" s="1"/>
  <c r="N29" i="22" a="1"/>
  <c r="N29" i="22" s="1"/>
  <c r="O29" i="22" s="1"/>
  <c r="T20" i="5" a="1"/>
  <c r="T20" i="5" s="1"/>
  <c r="T22" i="23" a="1"/>
  <c r="T22" i="23" s="1"/>
  <c r="N19" i="23" a="1"/>
  <c r="N19" i="23" s="1"/>
  <c r="O19" i="23" s="1"/>
  <c r="T25" i="18" a="1"/>
  <c r="T25" i="18" s="1"/>
  <c r="T24" i="23" a="1"/>
  <c r="T24" i="23" s="1"/>
  <c r="N25" i="23" a="1"/>
  <c r="N25" i="23" s="1"/>
  <c r="O25" i="23" s="1"/>
  <c r="N12" i="23" a="1"/>
  <c r="N12" i="23" s="1"/>
  <c r="O12" i="23" s="1"/>
  <c r="T13" i="23" a="1"/>
  <c r="T13" i="23" s="1"/>
  <c r="T11" i="23" a="1"/>
  <c r="T11" i="23" s="1"/>
  <c r="T3" i="23" a="1"/>
  <c r="T3" i="23" s="1"/>
  <c r="T4" i="23" a="1"/>
  <c r="T4" i="23" s="1"/>
  <c r="T17" i="23" a="1"/>
  <c r="T17" i="23" s="1"/>
  <c r="T15" i="23" a="1"/>
  <c r="T15" i="23" s="1"/>
  <c r="L4" i="23"/>
  <c r="L5" i="23" s="1"/>
  <c r="L6" i="23" s="1"/>
  <c r="L7" i="23" s="1"/>
  <c r="L8" i="23" s="1"/>
  <c r="T5" i="23" a="1"/>
  <c r="T5" i="23" s="1"/>
  <c r="T6" i="23" a="1"/>
  <c r="T6" i="23" s="1"/>
  <c r="T16" i="23" a="1"/>
  <c r="T16" i="23" s="1"/>
  <c r="R3" i="23"/>
  <c r="K3" i="23" s="1"/>
  <c r="T21" i="23" a="1"/>
  <c r="T21" i="23" s="1"/>
  <c r="T26" i="23" a="1"/>
  <c r="T26" i="23" s="1"/>
  <c r="T18" i="23" a="1"/>
  <c r="T18" i="23" s="1"/>
  <c r="T20" i="23" a="1"/>
  <c r="T20" i="23" s="1"/>
  <c r="T27" i="23" a="1"/>
  <c r="T27" i="23" s="1"/>
  <c r="T28" i="23" a="1"/>
  <c r="T28" i="23" s="1"/>
  <c r="T28" i="21" a="1"/>
  <c r="T28" i="21" s="1"/>
  <c r="M17" i="22"/>
  <c r="N17" i="22" s="1" a="1"/>
  <c r="N17" i="22" s="1"/>
  <c r="O17" i="22" s="1"/>
  <c r="P17" i="22"/>
  <c r="P37" i="22"/>
  <c r="M37" i="22"/>
  <c r="N37" i="22" s="1" a="1"/>
  <c r="N37" i="22" s="1"/>
  <c r="O37" i="22" s="1"/>
  <c r="P36" i="22"/>
  <c r="M36" i="22"/>
  <c r="N36" i="22" s="1" a="1"/>
  <c r="N36" i="22" s="1"/>
  <c r="O36" i="22" s="1"/>
  <c r="P35" i="22"/>
  <c r="M35" i="22"/>
  <c r="N35" i="22" s="1" a="1"/>
  <c r="N35" i="22" s="1"/>
  <c r="O35" i="22" s="1"/>
  <c r="P33" i="22"/>
  <c r="P32" i="22"/>
  <c r="M32" i="22"/>
  <c r="T32" i="22" s="1" a="1"/>
  <c r="T32" i="22" s="1"/>
  <c r="P31" i="22"/>
  <c r="M31" i="22"/>
  <c r="N31" i="22" s="1" a="1"/>
  <c r="N31" i="22" s="1"/>
  <c r="O31" i="22" s="1"/>
  <c r="P30" i="22"/>
  <c r="P28" i="22"/>
  <c r="M28" i="22"/>
  <c r="N28" i="22" s="1" a="1"/>
  <c r="N28" i="22" s="1"/>
  <c r="O28" i="22" s="1"/>
  <c r="P27" i="22"/>
  <c r="M27" i="22"/>
  <c r="T27" i="22" s="1" a="1"/>
  <c r="T27" i="22" s="1"/>
  <c r="P26" i="22"/>
  <c r="M26" i="22"/>
  <c r="N26" i="22" s="1" a="1"/>
  <c r="N26" i="22" s="1"/>
  <c r="O26" i="22" s="1"/>
  <c r="P25" i="22"/>
  <c r="M25" i="22"/>
  <c r="T25" i="22" s="1" a="1"/>
  <c r="T25" i="22" s="1"/>
  <c r="P24" i="22"/>
  <c r="M24" i="22"/>
  <c r="N24" i="22" s="1" a="1"/>
  <c r="N24" i="22" s="1"/>
  <c r="O24" i="22" s="1"/>
  <c r="P23" i="22"/>
  <c r="M23" i="22"/>
  <c r="N23" i="22" s="1" a="1"/>
  <c r="N23" i="22" s="1"/>
  <c r="O23" i="22" s="1"/>
  <c r="P22" i="22"/>
  <c r="M22" i="22"/>
  <c r="T22" i="22" s="1" a="1"/>
  <c r="T22" i="22" s="1"/>
  <c r="P21" i="22"/>
  <c r="M21" i="22"/>
  <c r="N21" i="22" s="1" a="1"/>
  <c r="N21" i="22" s="1"/>
  <c r="O21" i="22" s="1"/>
  <c r="P20" i="22"/>
  <c r="M20" i="22"/>
  <c r="T20" i="22" s="1" a="1"/>
  <c r="T20" i="22" s="1"/>
  <c r="P19" i="22"/>
  <c r="M19" i="22"/>
  <c r="N19" i="22" s="1" a="1"/>
  <c r="N19" i="22" s="1"/>
  <c r="O19" i="22" s="1"/>
  <c r="P18" i="22"/>
  <c r="M18" i="22"/>
  <c r="N18" i="22" s="1" a="1"/>
  <c r="N18" i="22" s="1"/>
  <c r="O18" i="22" s="1"/>
  <c r="P16" i="22"/>
  <c r="M16" i="22"/>
  <c r="N16" i="22" s="1" a="1"/>
  <c r="N16" i="22" s="1"/>
  <c r="O16" i="22" s="1"/>
  <c r="P15" i="22"/>
  <c r="M15" i="22"/>
  <c r="N15" i="22" s="1" a="1"/>
  <c r="N15" i="22" s="1"/>
  <c r="O15" i="22" s="1"/>
  <c r="P14" i="22"/>
  <c r="M14" i="22"/>
  <c r="N14" i="22" s="1" a="1"/>
  <c r="N14" i="22" s="1"/>
  <c r="O14" i="22" s="1"/>
  <c r="P13" i="22"/>
  <c r="P12" i="22"/>
  <c r="P11" i="22"/>
  <c r="P10" i="22"/>
  <c r="M10" i="22"/>
  <c r="N10" i="22" s="1" a="1"/>
  <c r="N10" i="22" s="1"/>
  <c r="O10" i="22" s="1"/>
  <c r="P7" i="22"/>
  <c r="P6" i="22"/>
  <c r="P5" i="22"/>
  <c r="P4" i="22"/>
  <c r="M4" i="22"/>
  <c r="N4" i="22" s="1" a="1"/>
  <c r="N4" i="22" s="1"/>
  <c r="O4" i="22" s="1"/>
  <c r="Q3" i="22"/>
  <c r="P3" i="22"/>
  <c r="M3" i="22"/>
  <c r="N3" i="22" s="1" a="1"/>
  <c r="N3" i="22" s="1"/>
  <c r="O3" i="22" s="1"/>
  <c r="L3" i="22"/>
  <c r="L4" i="22" s="1"/>
  <c r="L5" i="22" s="1"/>
  <c r="L6" i="22" s="1"/>
  <c r="L7" i="22" s="1"/>
  <c r="I1" i="22"/>
  <c r="T20" i="21" a="1"/>
  <c r="T20" i="21" s="1"/>
  <c r="P20" i="21"/>
  <c r="N30" i="5" a="1"/>
  <c r="N30" i="5" s="1"/>
  <c r="O30" i="5" s="1"/>
  <c r="P30" i="5"/>
  <c r="P33" i="21"/>
  <c r="N31" i="21" a="1"/>
  <c r="N31" i="21" s="1"/>
  <c r="O31" i="21" s="1"/>
  <c r="P31" i="21"/>
  <c r="N30" i="21" a="1"/>
  <c r="N30" i="21" s="1"/>
  <c r="O30" i="21" s="1"/>
  <c r="P30" i="21"/>
  <c r="P29" i="21"/>
  <c r="N25" i="21" a="1"/>
  <c r="N25" i="21" s="1"/>
  <c r="O25" i="21" s="1"/>
  <c r="P25" i="21"/>
  <c r="P36" i="21"/>
  <c r="N36" i="21" a="1"/>
  <c r="N36" i="21" s="1"/>
  <c r="O36" i="21" s="1"/>
  <c r="P35" i="21"/>
  <c r="N35" i="21" a="1"/>
  <c r="N35" i="21" s="1"/>
  <c r="O35" i="21" s="1"/>
  <c r="P34" i="21"/>
  <c r="N34" i="21" a="1"/>
  <c r="N34" i="21" s="1"/>
  <c r="O34" i="21" s="1"/>
  <c r="P27" i="21"/>
  <c r="T27" i="21" a="1"/>
  <c r="T27" i="21" s="1"/>
  <c r="P26" i="21"/>
  <c r="N26" i="21" a="1"/>
  <c r="N26" i="21" s="1"/>
  <c r="O26" i="21" s="1"/>
  <c r="P24" i="21"/>
  <c r="T24" i="21" a="1"/>
  <c r="T24" i="21" s="1"/>
  <c r="P23" i="21"/>
  <c r="N23" i="21" a="1"/>
  <c r="N23" i="21" s="1"/>
  <c r="O23" i="21" s="1"/>
  <c r="P22" i="21"/>
  <c r="N22" i="21" a="1"/>
  <c r="N22" i="21" s="1"/>
  <c r="O22" i="21" s="1"/>
  <c r="P21" i="21"/>
  <c r="T21" i="21" a="1"/>
  <c r="T21" i="21" s="1"/>
  <c r="P19" i="21"/>
  <c r="N19" i="21" a="1"/>
  <c r="N19" i="21" s="1"/>
  <c r="O19" i="21" s="1"/>
  <c r="P18" i="21"/>
  <c r="T18" i="21" a="1"/>
  <c r="T18" i="21" s="1"/>
  <c r="P17" i="21"/>
  <c r="N17" i="21" a="1"/>
  <c r="N17" i="21" s="1"/>
  <c r="O17" i="21" s="1"/>
  <c r="P16" i="21"/>
  <c r="T16" i="21" a="1"/>
  <c r="T16" i="21" s="1"/>
  <c r="P15" i="21"/>
  <c r="N15" i="21" a="1"/>
  <c r="N15" i="21" s="1"/>
  <c r="O15" i="21" s="1"/>
  <c r="P14" i="21"/>
  <c r="N14" i="21" a="1"/>
  <c r="N14" i="21" s="1"/>
  <c r="O14" i="21" s="1"/>
  <c r="P13" i="21"/>
  <c r="P12" i="21"/>
  <c r="P11" i="21"/>
  <c r="P10" i="21"/>
  <c r="N10" i="21" a="1"/>
  <c r="N10" i="21" s="1"/>
  <c r="O10" i="21" s="1"/>
  <c r="P7" i="21"/>
  <c r="P6" i="21"/>
  <c r="P5" i="21"/>
  <c r="P4" i="21"/>
  <c r="N4" i="21" a="1"/>
  <c r="N4" i="21" s="1"/>
  <c r="O4" i="21" s="1"/>
  <c r="Q3" i="21"/>
  <c r="P3" i="21"/>
  <c r="N3" i="21" a="1"/>
  <c r="N3" i="21" s="1"/>
  <c r="O3" i="21" s="1"/>
  <c r="L3" i="21"/>
  <c r="L4" i="21" s="1"/>
  <c r="L5" i="21" s="1"/>
  <c r="L6" i="21" s="1"/>
  <c r="L7" i="21" s="1"/>
  <c r="I1" i="21"/>
  <c r="S12" i="20" l="1"/>
  <c r="R12" i="20"/>
  <c r="Q13" i="20"/>
  <c r="T11" i="29" a="1"/>
  <c r="T11" i="29" s="1"/>
  <c r="N11" i="29" a="1"/>
  <c r="N11" i="29" s="1"/>
  <c r="O11" i="29" s="1"/>
  <c r="S12" i="29"/>
  <c r="R12" i="29"/>
  <c r="K12" i="29"/>
  <c r="M12" i="29" s="1"/>
  <c r="Q13" i="29"/>
  <c r="S9" i="27"/>
  <c r="R9" i="27"/>
  <c r="K9" i="27"/>
  <c r="Q10" i="27"/>
  <c r="L8" i="22"/>
  <c r="L8" i="21"/>
  <c r="T30" i="5" a="1"/>
  <c r="T30" i="5" s="1"/>
  <c r="L9" i="23"/>
  <c r="L10" i="23" s="1"/>
  <c r="L11" i="23" s="1"/>
  <c r="T17" i="22" a="1"/>
  <c r="T17" i="22" s="1"/>
  <c r="N20" i="22" a="1"/>
  <c r="N20" i="22" s="1"/>
  <c r="O20" i="22" s="1"/>
  <c r="N27" i="22" a="1"/>
  <c r="N27" i="22" s="1"/>
  <c r="O27" i="22" s="1"/>
  <c r="N22" i="22" a="1"/>
  <c r="N22" i="22" s="1"/>
  <c r="O22" i="22" s="1"/>
  <c r="N32" i="22" a="1"/>
  <c r="N32" i="22" s="1"/>
  <c r="O32" i="22" s="1"/>
  <c r="N25" i="22" a="1"/>
  <c r="N25" i="22" s="1"/>
  <c r="O25" i="22" s="1"/>
  <c r="Q4" i="22"/>
  <c r="T15" i="22" a="1"/>
  <c r="T15" i="22" s="1"/>
  <c r="T18" i="22" a="1"/>
  <c r="T18" i="22" s="1"/>
  <c r="R3" i="22"/>
  <c r="S3" i="22"/>
  <c r="T4" i="22" a="1"/>
  <c r="T4" i="22" s="1"/>
  <c r="T10" i="22" a="1"/>
  <c r="T10" i="22" s="1"/>
  <c r="T14" i="22" a="1"/>
  <c r="T14" i="22" s="1"/>
  <c r="T16" i="22" a="1"/>
  <c r="T16" i="22" s="1"/>
  <c r="T19" i="22" a="1"/>
  <c r="T19" i="22" s="1"/>
  <c r="T21" i="22" a="1"/>
  <c r="T21" i="22" s="1"/>
  <c r="T23" i="22" a="1"/>
  <c r="T23" i="22" s="1"/>
  <c r="T24" i="22" a="1"/>
  <c r="T24" i="22" s="1"/>
  <c r="T26" i="22" a="1"/>
  <c r="T26" i="22" s="1"/>
  <c r="T28" i="22" a="1"/>
  <c r="T28" i="22" s="1"/>
  <c r="T31" i="22" a="1"/>
  <c r="T31" i="22" s="1"/>
  <c r="T35" i="22" a="1"/>
  <c r="T35" i="22" s="1"/>
  <c r="T36" i="22" a="1"/>
  <c r="T36" i="22" s="1"/>
  <c r="T37" i="22" a="1"/>
  <c r="T37" i="22" s="1"/>
  <c r="T3" i="22" a="1"/>
  <c r="T3" i="22" s="1"/>
  <c r="N20" i="21" a="1"/>
  <c r="N20" i="21" s="1"/>
  <c r="O20" i="21" s="1"/>
  <c r="T31" i="21" a="1"/>
  <c r="T31" i="21" s="1"/>
  <c r="T30" i="21" a="1"/>
  <c r="T30" i="21" s="1"/>
  <c r="T25" i="21" a="1"/>
  <c r="T25" i="21" s="1"/>
  <c r="T15" i="21" a="1"/>
  <c r="T15" i="21" s="1"/>
  <c r="N21" i="21" a="1"/>
  <c r="N21" i="21" s="1"/>
  <c r="O21" i="21" s="1"/>
  <c r="N16" i="21" a="1"/>
  <c r="N16" i="21" s="1"/>
  <c r="O16" i="21" s="1"/>
  <c r="N27" i="21" a="1"/>
  <c r="N27" i="21" s="1"/>
  <c r="O27" i="21" s="1"/>
  <c r="N24" i="21" a="1"/>
  <c r="N24" i="21" s="1"/>
  <c r="O24" i="21" s="1"/>
  <c r="S3" i="21"/>
  <c r="R3" i="21"/>
  <c r="T4" i="21" a="1"/>
  <c r="T4" i="21" s="1"/>
  <c r="T14" i="21" a="1"/>
  <c r="T14" i="21" s="1"/>
  <c r="T3" i="21" a="1"/>
  <c r="T3" i="21" s="1"/>
  <c r="N18" i="21" a="1"/>
  <c r="N18" i="21" s="1"/>
  <c r="O18" i="21" s="1"/>
  <c r="T10" i="21" a="1"/>
  <c r="T10" i="21" s="1"/>
  <c r="T17" i="21" a="1"/>
  <c r="T17" i="21" s="1"/>
  <c r="T22" i="21" a="1"/>
  <c r="T22" i="21" s="1"/>
  <c r="T23" i="21" a="1"/>
  <c r="T23" i="21" s="1"/>
  <c r="T26" i="21" a="1"/>
  <c r="T26" i="21" s="1"/>
  <c r="T34" i="21" a="1"/>
  <c r="T34" i="21" s="1"/>
  <c r="T35" i="21" a="1"/>
  <c r="T35" i="21" s="1"/>
  <c r="T36" i="21" a="1"/>
  <c r="T36" i="21" s="1"/>
  <c r="T19" i="21" a="1"/>
  <c r="T19" i="21" s="1"/>
  <c r="N49" i="18" a="1"/>
  <c r="N49" i="18" s="1"/>
  <c r="O49" i="18" s="1"/>
  <c r="P49" i="18"/>
  <c r="N33" i="18" a="1"/>
  <c r="N33" i="18" s="1"/>
  <c r="O33" i="18" s="1"/>
  <c r="T34" i="18" a="1"/>
  <c r="T34" i="18" s="1"/>
  <c r="N35" i="18" a="1"/>
  <c r="N35" i="18" s="1"/>
  <c r="O35" i="18" s="1"/>
  <c r="N36" i="18" a="1"/>
  <c r="N36" i="18" s="1"/>
  <c r="O36" i="18" s="1"/>
  <c r="P33" i="18"/>
  <c r="P34" i="18"/>
  <c r="P35" i="18"/>
  <c r="P36" i="18"/>
  <c r="N45" i="18" a="1"/>
  <c r="N45" i="18" s="1"/>
  <c r="O45" i="18" s="1"/>
  <c r="N47" i="18" a="1"/>
  <c r="N47" i="18" s="1"/>
  <c r="O47" i="18" s="1"/>
  <c r="T48" i="18" a="1"/>
  <c r="T48" i="18" s="1"/>
  <c r="N50" i="18" a="1"/>
  <c r="N50" i="18" s="1"/>
  <c r="O50" i="18" s="1"/>
  <c r="N51" i="18" a="1"/>
  <c r="N51" i="18" s="1"/>
  <c r="O51" i="18" s="1"/>
  <c r="P45" i="18"/>
  <c r="P47" i="18"/>
  <c r="P48" i="18"/>
  <c r="P50" i="18"/>
  <c r="P51" i="18"/>
  <c r="N43" i="18" a="1"/>
  <c r="N43" i="18" s="1"/>
  <c r="O43" i="18" s="1"/>
  <c r="P43" i="18"/>
  <c r="T31" i="18" a="1"/>
  <c r="T31" i="18" s="1"/>
  <c r="N32" i="18" a="1"/>
  <c r="N32" i="18" s="1"/>
  <c r="O32" i="18" s="1"/>
  <c r="T37" i="18" a="1"/>
  <c r="T37" i="18" s="1"/>
  <c r="T38" i="18" a="1"/>
  <c r="T38" i="18" s="1"/>
  <c r="N39" i="18" a="1"/>
  <c r="N39" i="18" s="1"/>
  <c r="O39" i="18" s="1"/>
  <c r="T40" i="18" a="1"/>
  <c r="T40" i="18" s="1"/>
  <c r="N41" i="18" a="1"/>
  <c r="N41" i="18" s="1"/>
  <c r="O41" i="18" s="1"/>
  <c r="N42" i="18" a="1"/>
  <c r="N42" i="18" s="1"/>
  <c r="O42" i="18" s="1"/>
  <c r="P31" i="18"/>
  <c r="P32" i="18"/>
  <c r="P37" i="18"/>
  <c r="P38" i="18"/>
  <c r="P39" i="18"/>
  <c r="P40" i="18"/>
  <c r="P41" i="18"/>
  <c r="P42" i="18"/>
  <c r="N29" i="18" a="1"/>
  <c r="N29" i="18" s="1"/>
  <c r="O29" i="18" s="1"/>
  <c r="T30" i="18" a="1"/>
  <c r="T30" i="18" s="1"/>
  <c r="P29" i="18"/>
  <c r="P30" i="18"/>
  <c r="P52" i="18"/>
  <c r="N52" i="18" a="1"/>
  <c r="N52" i="18" s="1"/>
  <c r="O52" i="18" s="1"/>
  <c r="P28" i="18"/>
  <c r="N28" i="18" a="1"/>
  <c r="N28" i="18" s="1"/>
  <c r="O28" i="18" s="1"/>
  <c r="P27" i="18"/>
  <c r="T27" i="18" a="1"/>
  <c r="T27" i="18" s="1"/>
  <c r="P26" i="18"/>
  <c r="N26" i="18" a="1"/>
  <c r="N26" i="18" s="1"/>
  <c r="O26" i="18" s="1"/>
  <c r="P24" i="18"/>
  <c r="T24" i="18" a="1"/>
  <c r="T24" i="18" s="1"/>
  <c r="P23" i="18"/>
  <c r="N23" i="18" a="1"/>
  <c r="N23" i="18" s="1"/>
  <c r="O23" i="18" s="1"/>
  <c r="P22" i="18"/>
  <c r="N22" i="18" a="1"/>
  <c r="N22" i="18" s="1"/>
  <c r="O22" i="18" s="1"/>
  <c r="P21" i="18"/>
  <c r="N21" i="18" a="1"/>
  <c r="N21" i="18" s="1"/>
  <c r="O21" i="18" s="1"/>
  <c r="P20" i="18"/>
  <c r="T20" i="18" a="1"/>
  <c r="T20" i="18" s="1"/>
  <c r="P19" i="18"/>
  <c r="N19" i="18" a="1"/>
  <c r="N19" i="18" s="1"/>
  <c r="O19" i="18" s="1"/>
  <c r="P18" i="18"/>
  <c r="P17" i="18"/>
  <c r="N17" i="18" a="1"/>
  <c r="N17" i="18" s="1"/>
  <c r="O17" i="18" s="1"/>
  <c r="P16" i="18"/>
  <c r="P15" i="18"/>
  <c r="P14" i="18"/>
  <c r="P13" i="18"/>
  <c r="P12" i="18"/>
  <c r="N12" i="18" a="1"/>
  <c r="N12" i="18" s="1"/>
  <c r="O12" i="18" s="1"/>
  <c r="P9" i="18"/>
  <c r="P8" i="18"/>
  <c r="P7" i="18"/>
  <c r="P6" i="18"/>
  <c r="P5" i="18"/>
  <c r="P4" i="18"/>
  <c r="N4" i="18" a="1"/>
  <c r="N4" i="18" s="1"/>
  <c r="O4" i="18" s="1"/>
  <c r="Q3" i="18"/>
  <c r="P3" i="18"/>
  <c r="T3" i="18" a="1"/>
  <c r="T3" i="18" s="1"/>
  <c r="L3" i="18"/>
  <c r="L4" i="18" s="1"/>
  <c r="L5" i="18" s="1"/>
  <c r="L6" i="18" s="1"/>
  <c r="L7" i="18" s="1"/>
  <c r="L8" i="18" s="1"/>
  <c r="L9" i="18" s="1"/>
  <c r="I1" i="18"/>
  <c r="R13" i="20" l="1"/>
  <c r="Q14" i="20"/>
  <c r="S13" i="20"/>
  <c r="S13" i="29"/>
  <c r="Q14" i="29"/>
  <c r="R13" i="29"/>
  <c r="K13" i="29"/>
  <c r="M13" i="29" s="1"/>
  <c r="N12" i="29" a="1"/>
  <c r="N12" i="29" s="1"/>
  <c r="O12" i="29" s="1"/>
  <c r="T12" i="29" a="1"/>
  <c r="T12" i="29" s="1"/>
  <c r="Q11" i="27"/>
  <c r="R10" i="27"/>
  <c r="K10" i="27"/>
  <c r="S10" i="27"/>
  <c r="L9" i="22"/>
  <c r="L10" i="22" s="1"/>
  <c r="L11" i="22" s="1"/>
  <c r="L12" i="22" s="1"/>
  <c r="L13" i="22" s="1"/>
  <c r="L14" i="22" s="1"/>
  <c r="L15" i="22" s="1"/>
  <c r="L16" i="22" s="1"/>
  <c r="L17" i="22" s="1"/>
  <c r="L18" i="22" s="1"/>
  <c r="L19" i="22" s="1"/>
  <c r="L20" i="22" s="1"/>
  <c r="L21" i="22" s="1"/>
  <c r="L9" i="21"/>
  <c r="L10" i="21" s="1"/>
  <c r="L11" i="21" s="1"/>
  <c r="L12" i="21" s="1"/>
  <c r="L13" i="21" s="1"/>
  <c r="L14" i="21" s="1"/>
  <c r="L15" i="21" s="1"/>
  <c r="L16" i="21" s="1"/>
  <c r="L17" i="21" s="1"/>
  <c r="L18" i="21" s="1"/>
  <c r="L19" i="21" s="1"/>
  <c r="L20" i="21" s="1"/>
  <c r="L21" i="21" s="1"/>
  <c r="L22" i="21" s="1"/>
  <c r="L23" i="21" s="1"/>
  <c r="L24" i="21" s="1"/>
  <c r="L25" i="21" s="1"/>
  <c r="L26" i="21" s="1"/>
  <c r="L27" i="21" s="1"/>
  <c r="L28" i="21" s="1"/>
  <c r="L29" i="21" s="1"/>
  <c r="L10" i="18"/>
  <c r="L12" i="23"/>
  <c r="L13" i="23" s="1"/>
  <c r="L14" i="23" s="1"/>
  <c r="L15" i="23" s="1"/>
  <c r="L16" i="23" s="1"/>
  <c r="L17" i="23" s="1"/>
  <c r="L18" i="23" s="1"/>
  <c r="K3" i="22"/>
  <c r="Q5" i="22"/>
  <c r="S4" i="22"/>
  <c r="R4" i="22"/>
  <c r="K4" i="22"/>
  <c r="K3" i="21"/>
  <c r="Q4" i="21"/>
  <c r="T49" i="18" a="1"/>
  <c r="T49" i="18" s="1"/>
  <c r="T36" i="18" a="1"/>
  <c r="T36" i="18" s="1"/>
  <c r="T35" i="18" a="1"/>
  <c r="T35" i="18" s="1"/>
  <c r="T47" i="18" a="1"/>
  <c r="T47" i="18" s="1"/>
  <c r="T39" i="18" a="1"/>
  <c r="T39" i="18" s="1"/>
  <c r="N38" i="18" a="1"/>
  <c r="N38" i="18" s="1"/>
  <c r="O38" i="18" s="1"/>
  <c r="T33" i="18" a="1"/>
  <c r="T33" i="18" s="1"/>
  <c r="N34" i="18" a="1"/>
  <c r="N34" i="18" s="1"/>
  <c r="O34" i="18" s="1"/>
  <c r="T45" i="18" a="1"/>
  <c r="T45" i="18" s="1"/>
  <c r="T29" i="18" a="1"/>
  <c r="T29" i="18" s="1"/>
  <c r="T41" i="18" a="1"/>
  <c r="T41" i="18" s="1"/>
  <c r="N48" i="18" a="1"/>
  <c r="N48" i="18" s="1"/>
  <c r="O48" i="18" s="1"/>
  <c r="N30" i="18" a="1"/>
  <c r="N30" i="18" s="1"/>
  <c r="O30" i="18" s="1"/>
  <c r="T43" i="18" a="1"/>
  <c r="T43" i="18" s="1"/>
  <c r="T51" i="18" a="1"/>
  <c r="T51" i="18" s="1"/>
  <c r="T50" i="18" a="1"/>
  <c r="T50" i="18" s="1"/>
  <c r="N31" i="18" a="1"/>
  <c r="N31" i="18" s="1"/>
  <c r="O31" i="18" s="1"/>
  <c r="T42" i="18" a="1"/>
  <c r="T42" i="18" s="1"/>
  <c r="T32" i="18" a="1"/>
  <c r="T32" i="18" s="1"/>
  <c r="N27" i="18" a="1"/>
  <c r="N27" i="18" s="1"/>
  <c r="O27" i="18" s="1"/>
  <c r="N40" i="18" a="1"/>
  <c r="N40" i="18" s="1"/>
  <c r="O40" i="18" s="1"/>
  <c r="T22" i="18" a="1"/>
  <c r="T22" i="18" s="1"/>
  <c r="N37" i="18" a="1"/>
  <c r="N37" i="18" s="1"/>
  <c r="O37" i="18" s="1"/>
  <c r="T17" i="18" a="1"/>
  <c r="T17" i="18" s="1"/>
  <c r="T21" i="18" a="1"/>
  <c r="T21" i="18" s="1"/>
  <c r="N24" i="18" a="1"/>
  <c r="N24" i="18" s="1"/>
  <c r="O24" i="18" s="1"/>
  <c r="T26" i="18" a="1"/>
  <c r="T26" i="18" s="1"/>
  <c r="T52" i="18" a="1"/>
  <c r="T52" i="18" s="1"/>
  <c r="N3" i="18" a="1"/>
  <c r="N3" i="18" s="1"/>
  <c r="O3" i="18" s="1"/>
  <c r="T19" i="18" a="1"/>
  <c r="T19" i="18" s="1"/>
  <c r="T23" i="18" a="1"/>
  <c r="T23" i="18" s="1"/>
  <c r="T28" i="18" a="1"/>
  <c r="T28" i="18" s="1"/>
  <c r="R3" i="18"/>
  <c r="Q4" i="18"/>
  <c r="T4" i="18" a="1"/>
  <c r="T4" i="18" s="1"/>
  <c r="N20" i="18" a="1"/>
  <c r="N20" i="18" s="1"/>
  <c r="O20" i="18" s="1"/>
  <c r="S3" i="18"/>
  <c r="T12" i="18" a="1"/>
  <c r="T12" i="18" s="1"/>
  <c r="S14" i="20" l="1"/>
  <c r="R14" i="20"/>
  <c r="Q15" i="20"/>
  <c r="Q16" i="20" s="1"/>
  <c r="L22" i="22"/>
  <c r="L23" i="22" s="1"/>
  <c r="L24" i="22" s="1"/>
  <c r="L25" i="22" s="1"/>
  <c r="L26" i="22" s="1"/>
  <c r="L27" i="22" s="1"/>
  <c r="L28" i="22" s="1"/>
  <c r="L29" i="22" s="1"/>
  <c r="L30" i="22" s="1"/>
  <c r="L31" i="22" s="1"/>
  <c r="L32" i="22" s="1"/>
  <c r="L33" i="22" s="1"/>
  <c r="T13" i="29" a="1"/>
  <c r="T13" i="29" s="1"/>
  <c r="N13" i="29" a="1"/>
  <c r="N13" i="29" s="1"/>
  <c r="O13" i="29" s="1"/>
  <c r="Q15" i="29"/>
  <c r="S14" i="29"/>
  <c r="R14" i="29"/>
  <c r="K14" i="29"/>
  <c r="S11" i="27"/>
  <c r="R11" i="27"/>
  <c r="K11" i="27"/>
  <c r="Q12" i="27"/>
  <c r="L11" i="18"/>
  <c r="L12" i="18" s="1"/>
  <c r="L13" i="18" s="1"/>
  <c r="L14" i="18" s="1"/>
  <c r="L15" i="18" s="1"/>
  <c r="L16" i="18" s="1"/>
  <c r="L17" i="18" s="1"/>
  <c r="L18" i="18" s="1"/>
  <c r="L19" i="18" s="1"/>
  <c r="L20" i="18" s="1"/>
  <c r="L21" i="18" s="1"/>
  <c r="L22" i="18" s="1"/>
  <c r="L23" i="18" s="1"/>
  <c r="L24" i="18" s="1"/>
  <c r="L25" i="18" s="1"/>
  <c r="L26" i="18" s="1"/>
  <c r="L27" i="18" s="1"/>
  <c r="L28" i="18" s="1"/>
  <c r="L29" i="18" s="1"/>
  <c r="L30" i="18" s="1"/>
  <c r="L31" i="18" s="1"/>
  <c r="L32" i="18" s="1"/>
  <c r="L19" i="23"/>
  <c r="L20" i="23" s="1"/>
  <c r="L21" i="23" s="1"/>
  <c r="Q6" i="22"/>
  <c r="K5" i="22"/>
  <c r="S5" i="22"/>
  <c r="R5" i="22"/>
  <c r="L30" i="21"/>
  <c r="L31" i="21" s="1"/>
  <c r="Q5" i="21"/>
  <c r="S4" i="21"/>
  <c r="R4" i="21"/>
  <c r="K4" i="21"/>
  <c r="K3" i="18"/>
  <c r="R4" i="18"/>
  <c r="S4" i="18"/>
  <c r="K4" i="18"/>
  <c r="Q5" i="18"/>
  <c r="Q17" i="20" l="1"/>
  <c r="S16" i="20"/>
  <c r="R16" i="20"/>
  <c r="R15" i="20"/>
  <c r="S15" i="20"/>
  <c r="L34" i="22"/>
  <c r="L35" i="22" s="1"/>
  <c r="L36" i="22" s="1"/>
  <c r="L37" i="22" s="1"/>
  <c r="S15" i="29"/>
  <c r="Q16" i="29"/>
  <c r="Q17" i="29" s="1"/>
  <c r="R15" i="29"/>
  <c r="K15" i="29"/>
  <c r="L32" i="21"/>
  <c r="L33" i="21" s="1"/>
  <c r="L34" i="21" s="1"/>
  <c r="L35" i="21" s="1"/>
  <c r="L36" i="21" s="1"/>
  <c r="Q13" i="27"/>
  <c r="R12" i="27"/>
  <c r="K12" i="27"/>
  <c r="S12" i="27"/>
  <c r="L22" i="23"/>
  <c r="L23" i="23" s="1"/>
  <c r="L24" i="23" s="1"/>
  <c r="L25" i="23" s="1"/>
  <c r="L26" i="23" s="1"/>
  <c r="L27" i="23" s="1"/>
  <c r="L28" i="23" s="1"/>
  <c r="Q7" i="22"/>
  <c r="Q8" i="22" s="1"/>
  <c r="Q9" i="22" s="1"/>
  <c r="S6" i="22"/>
  <c r="R6" i="22"/>
  <c r="K6" i="22"/>
  <c r="S5" i="21"/>
  <c r="K5" i="21"/>
  <c r="Q6" i="21"/>
  <c r="R5" i="21"/>
  <c r="L33" i="18"/>
  <c r="L34" i="18" s="1"/>
  <c r="L35" i="18" s="1"/>
  <c r="L36" i="18" s="1"/>
  <c r="L37" i="18" s="1"/>
  <c r="L38" i="18" s="1"/>
  <c r="L39" i="18" s="1"/>
  <c r="L40" i="18" s="1"/>
  <c r="L41" i="18" s="1"/>
  <c r="L42" i="18" s="1"/>
  <c r="L43" i="18" s="1"/>
  <c r="L44" i="18" s="1"/>
  <c r="S5" i="18"/>
  <c r="R5" i="18"/>
  <c r="Q6" i="18"/>
  <c r="K5" i="18"/>
  <c r="R17" i="20" l="1"/>
  <c r="Q18" i="20"/>
  <c r="S17" i="20"/>
  <c r="K17" i="29"/>
  <c r="R17" i="29"/>
  <c r="S17" i="29"/>
  <c r="S16" i="29"/>
  <c r="R16" i="29"/>
  <c r="K16" i="29"/>
  <c r="Q18" i="29"/>
  <c r="S13" i="27"/>
  <c r="R13" i="27"/>
  <c r="K13" i="27"/>
  <c r="Q14" i="27"/>
  <c r="K9" i="22"/>
  <c r="R9" i="22"/>
  <c r="S9" i="22"/>
  <c r="K8" i="22"/>
  <c r="R8" i="22"/>
  <c r="S8" i="22"/>
  <c r="K7" i="22"/>
  <c r="S7" i="22"/>
  <c r="Q10" i="22"/>
  <c r="R7" i="22"/>
  <c r="Q7" i="21"/>
  <c r="Q8" i="21" s="1"/>
  <c r="Q9" i="21" s="1"/>
  <c r="S6" i="21"/>
  <c r="R6" i="21"/>
  <c r="K6" i="21"/>
  <c r="Q7" i="18"/>
  <c r="S6" i="18"/>
  <c r="K6" i="18"/>
  <c r="R6" i="18"/>
  <c r="S18" i="20" l="1"/>
  <c r="R18" i="20"/>
  <c r="Q19" i="20"/>
  <c r="Q19" i="29"/>
  <c r="S18" i="29"/>
  <c r="R18" i="29"/>
  <c r="K18" i="29"/>
  <c r="Q15" i="27"/>
  <c r="R14" i="27"/>
  <c r="K14" i="27"/>
  <c r="S14" i="27"/>
  <c r="K9" i="21"/>
  <c r="S9" i="21"/>
  <c r="R9" i="21"/>
  <c r="K8" i="21"/>
  <c r="R8" i="21"/>
  <c r="S8" i="21"/>
  <c r="Q11" i="22"/>
  <c r="S10" i="22"/>
  <c r="R10" i="22"/>
  <c r="K10" i="22"/>
  <c r="R7" i="21"/>
  <c r="K7" i="21"/>
  <c r="S7" i="21"/>
  <c r="L45" i="18"/>
  <c r="L46" i="18" s="1"/>
  <c r="S7" i="18"/>
  <c r="R7" i="18"/>
  <c r="Q8" i="18"/>
  <c r="K7" i="18"/>
  <c r="S19" i="20" l="1"/>
  <c r="Q20" i="20"/>
  <c r="R19" i="20"/>
  <c r="Q20" i="29"/>
  <c r="S19" i="29"/>
  <c r="R19" i="29"/>
  <c r="K19" i="29"/>
  <c r="S15" i="27"/>
  <c r="R15" i="27"/>
  <c r="K15" i="27"/>
  <c r="S11" i="22"/>
  <c r="R11" i="22"/>
  <c r="Q12" i="22"/>
  <c r="K11" i="22"/>
  <c r="L47" i="18"/>
  <c r="L48" i="18" s="1"/>
  <c r="L49" i="18" s="1"/>
  <c r="Q9" i="18"/>
  <c r="Q10" i="18" s="1"/>
  <c r="Q11" i="18" s="1"/>
  <c r="S8" i="18"/>
  <c r="K8" i="18"/>
  <c r="R8" i="18"/>
  <c r="M16" i="8"/>
  <c r="N15" i="16" a="1"/>
  <c r="N15" i="16" s="1"/>
  <c r="O15" i="16" s="1"/>
  <c r="P15" i="16"/>
  <c r="O49" i="13" a="1"/>
  <c r="O49" i="13" s="1"/>
  <c r="P48" i="13" a="1"/>
  <c r="P48" i="13" s="1"/>
  <c r="O47" i="13" a="1"/>
  <c r="O47" i="13" s="1"/>
  <c r="O46" i="13" a="1"/>
  <c r="O46" i="13" s="1"/>
  <c r="O45" i="13" a="1"/>
  <c r="O45" i="13" s="1"/>
  <c r="N17" i="16" a="1"/>
  <c r="N17" i="16" s="1"/>
  <c r="O17" i="16" s="1"/>
  <c r="P17" i="16"/>
  <c r="H29" i="10"/>
  <c r="I29" i="10"/>
  <c r="P13" i="16"/>
  <c r="P14" i="16"/>
  <c r="O40" i="13" a="1"/>
  <c r="O40" i="13" s="1"/>
  <c r="H5" i="10"/>
  <c r="I5" i="10"/>
  <c r="Q3" i="13"/>
  <c r="N23" i="16" a="1"/>
  <c r="N23" i="16" s="1"/>
  <c r="O23" i="16" s="1"/>
  <c r="P23" i="16"/>
  <c r="N24" i="16" a="1"/>
  <c r="N24" i="16" s="1"/>
  <c r="O24" i="16" s="1"/>
  <c r="P24" i="16"/>
  <c r="T25" i="16" a="1"/>
  <c r="T25" i="16" s="1"/>
  <c r="P25" i="16"/>
  <c r="N16" i="16" a="1"/>
  <c r="N16" i="16" s="1"/>
  <c r="O16" i="16" s="1"/>
  <c r="P16" i="16"/>
  <c r="O43" i="13" a="1"/>
  <c r="O43" i="13" s="1"/>
  <c r="O44" i="13" a="1"/>
  <c r="O44" i="13" s="1"/>
  <c r="O41" i="13" a="1"/>
  <c r="O41" i="13" s="1"/>
  <c r="R20" i="20" l="1"/>
  <c r="Q21" i="20"/>
  <c r="S20" i="20"/>
  <c r="Q21" i="29"/>
  <c r="S20" i="29"/>
  <c r="R20" i="29"/>
  <c r="K20" i="29"/>
  <c r="K11" i="18"/>
  <c r="R11" i="18"/>
  <c r="S11" i="18"/>
  <c r="K10" i="18"/>
  <c r="R10" i="18"/>
  <c r="S10" i="18"/>
  <c r="Q13" i="22"/>
  <c r="S12" i="22"/>
  <c r="R12" i="22"/>
  <c r="K12" i="22"/>
  <c r="Q10" i="21"/>
  <c r="L50" i="18"/>
  <c r="S9" i="18"/>
  <c r="K9" i="18"/>
  <c r="Q12" i="18"/>
  <c r="R9" i="18"/>
  <c r="T17" i="16" a="1"/>
  <c r="T17" i="16" s="1"/>
  <c r="T15" i="16" a="1"/>
  <c r="T15" i="16" s="1"/>
  <c r="P49" i="13" a="1"/>
  <c r="P49" i="13" s="1"/>
  <c r="O48" i="13" a="1"/>
  <c r="O48" i="13" s="1"/>
  <c r="P47" i="13" a="1"/>
  <c r="P47" i="13" s="1"/>
  <c r="P46" i="13" a="1"/>
  <c r="P46" i="13" s="1"/>
  <c r="P45" i="13" a="1"/>
  <c r="P45" i="13" s="1"/>
  <c r="P40" i="13" a="1"/>
  <c r="P40" i="13" s="1"/>
  <c r="N25" i="16" a="1"/>
  <c r="N25" i="16" s="1"/>
  <c r="O25" i="16" s="1"/>
  <c r="S3" i="13"/>
  <c r="Q4" i="13"/>
  <c r="R3" i="13"/>
  <c r="T23" i="16" a="1"/>
  <c r="T23" i="16" s="1"/>
  <c r="T24" i="16" a="1"/>
  <c r="T24" i="16" s="1"/>
  <c r="T16" i="16" a="1"/>
  <c r="T16" i="16" s="1"/>
  <c r="P43" i="13" a="1"/>
  <c r="P43" i="13" s="1"/>
  <c r="P44" i="13" a="1"/>
  <c r="P44" i="13" s="1"/>
  <c r="P41" i="13" a="1"/>
  <c r="P41" i="13" s="1"/>
  <c r="H30" i="10"/>
  <c r="I30" i="10"/>
  <c r="O33" i="13" a="1"/>
  <c r="O33" i="13" s="1"/>
  <c r="H11" i="10"/>
  <c r="I11" i="10"/>
  <c r="N3" i="16" a="1"/>
  <c r="N3" i="16" s="1"/>
  <c r="O3" i="16" s="1"/>
  <c r="N4" i="16" a="1"/>
  <c r="N4" i="16" s="1"/>
  <c r="O4" i="16" s="1"/>
  <c r="T12" i="16" a="1"/>
  <c r="T12" i="16" s="1"/>
  <c r="T18" i="16" a="1"/>
  <c r="T18" i="16" s="1"/>
  <c r="T19" i="16" a="1"/>
  <c r="T19" i="16" s="1"/>
  <c r="T20" i="16" a="1"/>
  <c r="T20" i="16" s="1"/>
  <c r="N21" i="16" a="1"/>
  <c r="N21" i="16" s="1"/>
  <c r="O21" i="16" s="1"/>
  <c r="N22" i="16" a="1"/>
  <c r="N22" i="16" s="1"/>
  <c r="O22" i="16" s="1"/>
  <c r="N26" i="16" a="1"/>
  <c r="N26" i="16" s="1"/>
  <c r="O26" i="16" s="1"/>
  <c r="N27" i="16" a="1"/>
  <c r="N27" i="16" s="1"/>
  <c r="O27" i="16" s="1"/>
  <c r="N29" i="16" a="1"/>
  <c r="N29" i="16" s="1"/>
  <c r="O29" i="16" s="1"/>
  <c r="N33" i="16" a="1"/>
  <c r="N33" i="16" s="1"/>
  <c r="O33" i="16" s="1"/>
  <c r="T3" i="5" a="1"/>
  <c r="T3" i="5" s="1"/>
  <c r="T4" i="5" a="1"/>
  <c r="T4" i="5" s="1"/>
  <c r="T12" i="5" a="1"/>
  <c r="T12" i="5" s="1"/>
  <c r="T17" i="5" a="1"/>
  <c r="T17" i="5" s="1"/>
  <c r="T19" i="5" a="1"/>
  <c r="T19" i="5" s="1"/>
  <c r="T21" i="5" a="1"/>
  <c r="T21" i="5" s="1"/>
  <c r="T22" i="5" a="1"/>
  <c r="T22" i="5" s="1"/>
  <c r="T23" i="5" a="1"/>
  <c r="T23" i="5" s="1"/>
  <c r="T24" i="5" a="1"/>
  <c r="T24" i="5" s="1"/>
  <c r="T25" i="5" a="1"/>
  <c r="T25" i="5" s="1"/>
  <c r="T26" i="5" a="1"/>
  <c r="T26" i="5" s="1"/>
  <c r="T27" i="5" a="1"/>
  <c r="T27" i="5" s="1"/>
  <c r="T28" i="5" a="1"/>
  <c r="T28" i="5" s="1"/>
  <c r="T29" i="5" a="1"/>
  <c r="T29" i="5" s="1"/>
  <c r="T31" i="5" a="1"/>
  <c r="T31" i="5" s="1"/>
  <c r="T32" i="5" a="1"/>
  <c r="T32" i="5" s="1"/>
  <c r="T33" i="5" a="1"/>
  <c r="T33" i="5" s="1"/>
  <c r="T34" i="5" a="1"/>
  <c r="T34" i="5" s="1"/>
  <c r="T35" i="5" a="1"/>
  <c r="T35" i="5" s="1"/>
  <c r="T36" i="5" a="1"/>
  <c r="T36" i="5" s="1"/>
  <c r="T37" i="5" a="1"/>
  <c r="T37" i="5" s="1"/>
  <c r="T38" i="5" a="1"/>
  <c r="T38" i="5" s="1"/>
  <c r="T39" i="5" a="1"/>
  <c r="T39" i="5" s="1"/>
  <c r="T40" i="5" a="1"/>
  <c r="T40" i="5" s="1"/>
  <c r="T41" i="5" a="1"/>
  <c r="T41" i="5" s="1"/>
  <c r="T42" i="5" a="1"/>
  <c r="T42" i="5" s="1"/>
  <c r="T43" i="5" a="1"/>
  <c r="T43" i="5" s="1"/>
  <c r="T44" i="5" a="1"/>
  <c r="T44" i="5" s="1"/>
  <c r="T46" i="5" a="1"/>
  <c r="T46" i="5" s="1"/>
  <c r="T47" i="5" a="1"/>
  <c r="T47" i="5" s="1"/>
  <c r="T48" i="5" a="1"/>
  <c r="T48" i="5" s="1"/>
  <c r="T49" i="5" a="1"/>
  <c r="T49" i="5" s="1"/>
  <c r="T50" i="5" a="1"/>
  <c r="T50" i="5" s="1"/>
  <c r="T51" i="5" a="1"/>
  <c r="T51" i="5" s="1"/>
  <c r="T52" i="5" a="1"/>
  <c r="T52" i="5" s="1"/>
  <c r="T53" i="5" a="1"/>
  <c r="T53" i="5" s="1"/>
  <c r="P22" i="16"/>
  <c r="P11" i="16"/>
  <c r="O39" i="13" a="1"/>
  <c r="O39" i="13" s="1"/>
  <c r="O38" i="13" a="1"/>
  <c r="O38" i="13" s="1"/>
  <c r="O37" i="13" a="1"/>
  <c r="O37" i="13" s="1"/>
  <c r="O36" i="13" a="1"/>
  <c r="O36" i="13" s="1"/>
  <c r="O35" i="13" a="1"/>
  <c r="O35" i="13" s="1"/>
  <c r="O34" i="13" a="1"/>
  <c r="O34" i="13" s="1"/>
  <c r="O32" i="13" a="1"/>
  <c r="O32" i="13" s="1"/>
  <c r="H14" i="10"/>
  <c r="I14" i="10"/>
  <c r="O30" i="13" a="1"/>
  <c r="O30" i="13" s="1"/>
  <c r="O27" i="13" a="1"/>
  <c r="O27" i="13" s="1"/>
  <c r="O28" i="13" a="1"/>
  <c r="O28" i="13" s="1"/>
  <c r="E1" i="6"/>
  <c r="P33" i="16"/>
  <c r="P29" i="16"/>
  <c r="P27" i="16"/>
  <c r="P26" i="16"/>
  <c r="P21" i="16"/>
  <c r="P20" i="16"/>
  <c r="P19" i="16"/>
  <c r="P18" i="16"/>
  <c r="P12" i="16"/>
  <c r="P10" i="16"/>
  <c r="P9" i="16"/>
  <c r="P6" i="16"/>
  <c r="P5" i="16"/>
  <c r="P4" i="16"/>
  <c r="Q3" i="16"/>
  <c r="S3" i="16" s="1"/>
  <c r="P3" i="16"/>
  <c r="L3" i="16"/>
  <c r="L4" i="16" s="1"/>
  <c r="L5" i="16" s="1"/>
  <c r="L6" i="16" s="1"/>
  <c r="I1" i="16"/>
  <c r="I1" i="5"/>
  <c r="M3" i="13"/>
  <c r="M4" i="13" s="1"/>
  <c r="M5" i="13" s="1"/>
  <c r="M6" i="13" s="1"/>
  <c r="M7" i="13" s="1"/>
  <c r="M8" i="13" s="1"/>
  <c r="M9" i="13" s="1"/>
  <c r="M10" i="13" s="1"/>
  <c r="M11" i="13" s="1"/>
  <c r="M12" i="13" s="1"/>
  <c r="M13" i="13" s="1"/>
  <c r="M14" i="13" s="1"/>
  <c r="M15" i="13" s="1"/>
  <c r="M16" i="13" s="1"/>
  <c r="M17" i="13" s="1"/>
  <c r="M18" i="13" s="1"/>
  <c r="M19" i="13" s="1"/>
  <c r="M20" i="13" s="1"/>
  <c r="M21" i="13" s="1"/>
  <c r="M22" i="13" s="1"/>
  <c r="M23" i="13" s="1"/>
  <c r="M24" i="13" s="1"/>
  <c r="M25" i="13" s="1"/>
  <c r="L3" i="5"/>
  <c r="S21" i="20" l="1"/>
  <c r="R21" i="20"/>
  <c r="Q22" i="20"/>
  <c r="Q22" i="29"/>
  <c r="S21" i="29"/>
  <c r="R21" i="29"/>
  <c r="K21" i="29"/>
  <c r="Q16" i="27"/>
  <c r="L51" i="18"/>
  <c r="L52" i="18" s="1"/>
  <c r="L53" i="18" s="1"/>
  <c r="L7" i="16"/>
  <c r="Q14" i="22"/>
  <c r="K13" i="22"/>
  <c r="S13" i="22"/>
  <c r="R13" i="22"/>
  <c r="Q11" i="21"/>
  <c r="S10" i="21"/>
  <c r="R10" i="21"/>
  <c r="K10" i="21"/>
  <c r="Q13" i="18"/>
  <c r="K12" i="18"/>
  <c r="S12" i="18"/>
  <c r="R12" i="18"/>
  <c r="L4" i="5"/>
  <c r="L3" i="13"/>
  <c r="S4" i="13"/>
  <c r="L4" i="13"/>
  <c r="Q5" i="13"/>
  <c r="R4" i="13"/>
  <c r="T3" i="16" a="1"/>
  <c r="T3" i="16" s="1"/>
  <c r="T27" i="16" a="1"/>
  <c r="T27" i="16" s="1"/>
  <c r="T29" i="16" a="1"/>
  <c r="T29" i="16" s="1"/>
  <c r="T26" i="16" a="1"/>
  <c r="T26" i="16" s="1"/>
  <c r="T33" i="16" a="1"/>
  <c r="T33" i="16" s="1"/>
  <c r="T22" i="16" a="1"/>
  <c r="T22" i="16" s="1"/>
  <c r="T4" i="16" a="1"/>
  <c r="T4" i="16" s="1"/>
  <c r="T21" i="16" a="1"/>
  <c r="T21" i="16" s="1"/>
  <c r="P36" i="13" a="1"/>
  <c r="P36" i="13" s="1"/>
  <c r="P28" i="13" a="1"/>
  <c r="P28" i="13" s="1"/>
  <c r="P39" i="13" a="1"/>
  <c r="P39" i="13" s="1"/>
  <c r="P35" i="13" a="1"/>
  <c r="P35" i="13" s="1"/>
  <c r="P34" i="13" a="1"/>
  <c r="P34" i="13" s="1"/>
  <c r="P33" i="13" a="1"/>
  <c r="P33" i="13" s="1"/>
  <c r="P27" i="13" a="1"/>
  <c r="P27" i="13" s="1"/>
  <c r="P38" i="13" a="1"/>
  <c r="P38" i="13" s="1"/>
  <c r="P32" i="13" a="1"/>
  <c r="P32" i="13" s="1"/>
  <c r="P37" i="13" a="1"/>
  <c r="P37" i="13" s="1"/>
  <c r="P30" i="13" a="1"/>
  <c r="P30" i="13" s="1"/>
  <c r="R3" i="16"/>
  <c r="K3" i="16" s="1"/>
  <c r="Q3" i="5"/>
  <c r="P3" i="5"/>
  <c r="P4" i="5"/>
  <c r="P5" i="5"/>
  <c r="P6" i="5"/>
  <c r="P7" i="5"/>
  <c r="P10" i="5"/>
  <c r="P11" i="5"/>
  <c r="P12" i="5"/>
  <c r="P13" i="5"/>
  <c r="P14" i="5"/>
  <c r="P15" i="5"/>
  <c r="P16" i="5"/>
  <c r="P17" i="5"/>
  <c r="P18" i="5"/>
  <c r="P19" i="5"/>
  <c r="P21" i="5"/>
  <c r="P22" i="5"/>
  <c r="P23" i="5"/>
  <c r="P24" i="5"/>
  <c r="P25" i="5"/>
  <c r="P26" i="5"/>
  <c r="P27" i="5"/>
  <c r="P28" i="5"/>
  <c r="P29" i="5"/>
  <c r="P31" i="5"/>
  <c r="P32" i="5"/>
  <c r="P33" i="5"/>
  <c r="P34" i="5"/>
  <c r="P35" i="5"/>
  <c r="P36" i="5"/>
  <c r="P37" i="5"/>
  <c r="P38" i="5"/>
  <c r="P39" i="5"/>
  <c r="P40" i="5"/>
  <c r="P41" i="5"/>
  <c r="P42" i="5"/>
  <c r="P43" i="5"/>
  <c r="P44" i="5"/>
  <c r="P45" i="5"/>
  <c r="P46" i="5"/>
  <c r="P47" i="5"/>
  <c r="P48" i="5"/>
  <c r="P49" i="5"/>
  <c r="P50" i="5"/>
  <c r="P51" i="5"/>
  <c r="P52" i="5"/>
  <c r="P53" i="5"/>
  <c r="M14" i="8"/>
  <c r="M15" i="8"/>
  <c r="M17" i="8"/>
  <c r="H10" i="10"/>
  <c r="I10" i="10"/>
  <c r="H25" i="10"/>
  <c r="H27" i="10"/>
  <c r="I25" i="10"/>
  <c r="I27" i="10"/>
  <c r="N3" i="5" a="1"/>
  <c r="N3" i="5" s="1"/>
  <c r="O3" i="5" s="1"/>
  <c r="N4" i="5" a="1"/>
  <c r="N4" i="5" s="1"/>
  <c r="O4" i="5" s="1"/>
  <c r="N12" i="5" a="1"/>
  <c r="N12" i="5" s="1"/>
  <c r="O12" i="5" s="1"/>
  <c r="N17" i="5" a="1"/>
  <c r="N17" i="5" s="1"/>
  <c r="O17" i="5" s="1"/>
  <c r="N19" i="5" a="1"/>
  <c r="N19" i="5" s="1"/>
  <c r="O19" i="5" s="1"/>
  <c r="N21" i="5" a="1"/>
  <c r="N21" i="5" s="1"/>
  <c r="O21" i="5" s="1"/>
  <c r="N22" i="5" a="1"/>
  <c r="N22" i="5" s="1"/>
  <c r="O22" i="5" s="1"/>
  <c r="N23" i="5" a="1"/>
  <c r="N23" i="5" s="1"/>
  <c r="O23" i="5" s="1"/>
  <c r="N24" i="5" a="1"/>
  <c r="N24" i="5" s="1"/>
  <c r="O24" i="5" s="1"/>
  <c r="N25" i="5" a="1"/>
  <c r="N25" i="5" s="1"/>
  <c r="O25" i="5" s="1"/>
  <c r="N26" i="5" a="1"/>
  <c r="N26" i="5" s="1"/>
  <c r="O26" i="5" s="1"/>
  <c r="N27" i="5" a="1"/>
  <c r="N27" i="5" s="1"/>
  <c r="O27" i="5" s="1"/>
  <c r="N28" i="5" a="1"/>
  <c r="N28" i="5" s="1"/>
  <c r="O28" i="5" s="1"/>
  <c r="N29" i="5" a="1"/>
  <c r="N29" i="5" s="1"/>
  <c r="O29" i="5" s="1"/>
  <c r="N31" i="5" a="1"/>
  <c r="N31" i="5" s="1"/>
  <c r="O31" i="5" s="1"/>
  <c r="N32" i="5" a="1"/>
  <c r="N32" i="5" s="1"/>
  <c r="O32" i="5" s="1"/>
  <c r="N33" i="5" a="1"/>
  <c r="N33" i="5" s="1"/>
  <c r="O33" i="5" s="1"/>
  <c r="N34" i="5" a="1"/>
  <c r="N34" i="5" s="1"/>
  <c r="O34" i="5" s="1"/>
  <c r="N35" i="5" a="1"/>
  <c r="N35" i="5" s="1"/>
  <c r="O35" i="5" s="1"/>
  <c r="N36" i="5" a="1"/>
  <c r="N36" i="5" s="1"/>
  <c r="O36" i="5" s="1"/>
  <c r="N37" i="5" a="1"/>
  <c r="N37" i="5" s="1"/>
  <c r="O37" i="5" s="1"/>
  <c r="N38" i="5" a="1"/>
  <c r="N38" i="5" s="1"/>
  <c r="O38" i="5" s="1"/>
  <c r="N39" i="5" a="1"/>
  <c r="N39" i="5" s="1"/>
  <c r="O39" i="5" s="1"/>
  <c r="N40" i="5" a="1"/>
  <c r="N40" i="5" s="1"/>
  <c r="O40" i="5" s="1"/>
  <c r="N41" i="5" a="1"/>
  <c r="N41" i="5" s="1"/>
  <c r="O41" i="5" s="1"/>
  <c r="N42" i="5" a="1"/>
  <c r="N42" i="5" s="1"/>
  <c r="O42" i="5" s="1"/>
  <c r="N43" i="5" a="1"/>
  <c r="N43" i="5" s="1"/>
  <c r="O43" i="5" s="1"/>
  <c r="N44" i="5" a="1"/>
  <c r="N44" i="5" s="1"/>
  <c r="O44" i="5" s="1"/>
  <c r="N46" i="5" a="1"/>
  <c r="N46" i="5" s="1"/>
  <c r="O46" i="5" s="1"/>
  <c r="N47" i="5" a="1"/>
  <c r="N47" i="5" s="1"/>
  <c r="O47" i="5" s="1"/>
  <c r="N48" i="5" a="1"/>
  <c r="N48" i="5" s="1"/>
  <c r="O48" i="5" s="1"/>
  <c r="N49" i="5" a="1"/>
  <c r="N49" i="5" s="1"/>
  <c r="O49" i="5" s="1"/>
  <c r="N50" i="5" a="1"/>
  <c r="N50" i="5" s="1"/>
  <c r="O50" i="5" s="1"/>
  <c r="N51" i="5" a="1"/>
  <c r="N51" i="5" s="1"/>
  <c r="O51" i="5" s="1"/>
  <c r="N52" i="5" a="1"/>
  <c r="N52" i="5" s="1"/>
  <c r="O52" i="5" s="1"/>
  <c r="N53" i="5" a="1"/>
  <c r="N53" i="5" s="1"/>
  <c r="O53" i="5" s="1"/>
  <c r="I4" i="10"/>
  <c r="I9" i="10"/>
  <c r="I12" i="10"/>
  <c r="I7" i="10"/>
  <c r="I6" i="10"/>
  <c r="I26" i="10"/>
  <c r="H4" i="10"/>
  <c r="H9" i="10"/>
  <c r="H12" i="10"/>
  <c r="H7" i="10"/>
  <c r="H6" i="10"/>
  <c r="H26" i="10"/>
  <c r="S22" i="20" l="1"/>
  <c r="R22" i="20"/>
  <c r="Q23" i="20"/>
  <c r="K22" i="29"/>
  <c r="R22" i="29"/>
  <c r="S22" i="29"/>
  <c r="Q23" i="29"/>
  <c r="N4" i="13"/>
  <c r="O4" i="13" s="1" a="1"/>
  <c r="O4" i="13" s="1"/>
  <c r="M6" i="21"/>
  <c r="M5" i="18"/>
  <c r="N5" i="18" s="1" a="1"/>
  <c r="N5" i="18" s="1"/>
  <c r="O5" i="18" s="1"/>
  <c r="M6" i="18"/>
  <c r="T6" i="18" s="1" a="1"/>
  <c r="T6" i="18" s="1"/>
  <c r="M7" i="18"/>
  <c r="T7" i="18" s="1" a="1"/>
  <c r="T7" i="18" s="1"/>
  <c r="M8" i="18"/>
  <c r="N8" i="18" s="1" a="1"/>
  <c r="N8" i="18" s="1"/>
  <c r="O8" i="18" s="1"/>
  <c r="M7" i="21"/>
  <c r="M5" i="21"/>
  <c r="M9" i="18"/>
  <c r="N9" i="18" s="1" a="1"/>
  <c r="N9" i="18" s="1"/>
  <c r="O9" i="18" s="1"/>
  <c r="M5" i="27"/>
  <c r="M6" i="27"/>
  <c r="M7" i="27"/>
  <c r="M10" i="27"/>
  <c r="M11" i="27"/>
  <c r="M13" i="27"/>
  <c r="M14" i="27"/>
  <c r="M15" i="27"/>
  <c r="Q17" i="27"/>
  <c r="R16" i="27"/>
  <c r="K16" i="27"/>
  <c r="M16" i="27" s="1"/>
  <c r="S16" i="27"/>
  <c r="L8" i="16"/>
  <c r="L9" i="16" s="1"/>
  <c r="L10" i="16" s="1"/>
  <c r="L11" i="16" s="1"/>
  <c r="L12" i="16" s="1"/>
  <c r="L13" i="16" s="1"/>
  <c r="L14" i="16" s="1"/>
  <c r="M5" i="22"/>
  <c r="M6" i="22"/>
  <c r="M7" i="22"/>
  <c r="M11" i="22"/>
  <c r="M13" i="22"/>
  <c r="N13" i="22" s="1" a="1"/>
  <c r="N13" i="22" s="1"/>
  <c r="O13" i="22" s="1"/>
  <c r="M12" i="22"/>
  <c r="Q15" i="22"/>
  <c r="S14" i="22"/>
  <c r="R14" i="22"/>
  <c r="K14" i="22"/>
  <c r="S11" i="21"/>
  <c r="Q12" i="21"/>
  <c r="R11" i="21"/>
  <c r="K11" i="21"/>
  <c r="M11" i="21" s="1"/>
  <c r="S13" i="18"/>
  <c r="K13" i="18"/>
  <c r="M13" i="18" s="1"/>
  <c r="Q14" i="18"/>
  <c r="R13" i="18"/>
  <c r="M26" i="13"/>
  <c r="L5" i="5"/>
  <c r="S5" i="13"/>
  <c r="L5" i="13"/>
  <c r="R5" i="13"/>
  <c r="O6" i="13" a="1"/>
  <c r="O6" i="13" s="1"/>
  <c r="P6" i="13" a="1"/>
  <c r="P6" i="13" s="1"/>
  <c r="O13" i="13" a="1"/>
  <c r="O13" i="13" s="1"/>
  <c r="P13" i="13" a="1"/>
  <c r="P13" i="13" s="1"/>
  <c r="O21" i="13" a="1"/>
  <c r="O21" i="13" s="1"/>
  <c r="P21" i="13" a="1"/>
  <c r="P21" i="13" s="1"/>
  <c r="O12" i="13" a="1"/>
  <c r="O12" i="13" s="1"/>
  <c r="P12" i="13" a="1"/>
  <c r="P12" i="13" s="1"/>
  <c r="O20" i="13" a="1"/>
  <c r="O20" i="13" s="1"/>
  <c r="P20" i="13" a="1"/>
  <c r="P20" i="13" s="1"/>
  <c r="O8" i="13" a="1"/>
  <c r="O8" i="13" s="1"/>
  <c r="P8" i="13" a="1"/>
  <c r="P8" i="13" s="1"/>
  <c r="O23" i="13" a="1"/>
  <c r="O23" i="13" s="1"/>
  <c r="P23" i="13" a="1"/>
  <c r="P23" i="13" s="1"/>
  <c r="O15" i="13" a="1"/>
  <c r="O15" i="13" s="1"/>
  <c r="P15" i="13" a="1"/>
  <c r="P15" i="13" s="1"/>
  <c r="O9" i="13" a="1"/>
  <c r="O9" i="13" s="1"/>
  <c r="P9" i="13" a="1"/>
  <c r="P9" i="13" s="1"/>
  <c r="O16" i="13" a="1"/>
  <c r="O16" i="13" s="1"/>
  <c r="P16" i="13" a="1"/>
  <c r="P16" i="13" s="1"/>
  <c r="O24" i="13" a="1"/>
  <c r="O24" i="13" s="1"/>
  <c r="P24" i="13" a="1"/>
  <c r="P24" i="13" s="1"/>
  <c r="O22" i="13" a="1"/>
  <c r="O22" i="13" s="1"/>
  <c r="P22" i="13" a="1"/>
  <c r="P22" i="13" s="1"/>
  <c r="O17" i="13" a="1"/>
  <c r="O17" i="13" s="1"/>
  <c r="P17" i="13" a="1"/>
  <c r="P17" i="13" s="1"/>
  <c r="O25" i="13" a="1"/>
  <c r="O25" i="13" s="1"/>
  <c r="P25" i="13" a="1"/>
  <c r="P25" i="13" s="1"/>
  <c r="O14" i="13" a="1"/>
  <c r="O14" i="13" s="1"/>
  <c r="P14" i="13" a="1"/>
  <c r="P14" i="13" s="1"/>
  <c r="O18" i="13" a="1"/>
  <c r="O18" i="13" s="1"/>
  <c r="P18" i="13" a="1"/>
  <c r="P18" i="13" s="1"/>
  <c r="O3" i="13" a="1"/>
  <c r="O3" i="13" s="1"/>
  <c r="P3" i="13" a="1"/>
  <c r="P3" i="13" s="1"/>
  <c r="O5" i="13" a="1"/>
  <c r="O5" i="13" s="1"/>
  <c r="P5" i="13" a="1"/>
  <c r="P5" i="13" s="1"/>
  <c r="O11" i="13" a="1"/>
  <c r="O11" i="13" s="1"/>
  <c r="P11" i="13" a="1"/>
  <c r="P11" i="13" s="1"/>
  <c r="O19" i="13" a="1"/>
  <c r="O19" i="13" s="1"/>
  <c r="P19" i="13" a="1"/>
  <c r="P19" i="13" s="1"/>
  <c r="O26" i="13" a="1"/>
  <c r="O26" i="13" s="1"/>
  <c r="P26" i="13" a="1"/>
  <c r="P26" i="13" s="1"/>
  <c r="O7" i="13" a="1"/>
  <c r="O7" i="13" s="1"/>
  <c r="P7" i="13" a="1"/>
  <c r="P7" i="13" s="1"/>
  <c r="Q4" i="16"/>
  <c r="Q5" i="16" s="1"/>
  <c r="R3" i="5"/>
  <c r="S3" i="5"/>
  <c r="R23" i="20" l="1"/>
  <c r="Q24" i="20"/>
  <c r="S23" i="20"/>
  <c r="Q24" i="29"/>
  <c r="K23" i="29"/>
  <c r="R23" i="29"/>
  <c r="S23" i="29"/>
  <c r="P4" i="13" a="1"/>
  <c r="P4" i="13" s="1"/>
  <c r="N14" i="27" a="1"/>
  <c r="N14" i="27" s="1"/>
  <c r="O14" i="27" s="1"/>
  <c r="T14" i="27" a="1"/>
  <c r="T14" i="27" s="1"/>
  <c r="N13" i="27" a="1"/>
  <c r="N13" i="27" s="1"/>
  <c r="O13" i="27" s="1"/>
  <c r="T13" i="27" a="1"/>
  <c r="T13" i="27" s="1"/>
  <c r="N10" i="27" a="1"/>
  <c r="N10" i="27" s="1"/>
  <c r="O10" i="27" s="1"/>
  <c r="T10" i="27" a="1"/>
  <c r="T10" i="27" s="1"/>
  <c r="T7" i="27" a="1"/>
  <c r="T7" i="27" s="1"/>
  <c r="N7" i="27" a="1"/>
  <c r="N7" i="27" s="1"/>
  <c r="O7" i="27" s="1"/>
  <c r="N15" i="27" a="1"/>
  <c r="N15" i="27" s="1"/>
  <c r="O15" i="27" s="1"/>
  <c r="T15" i="27" a="1"/>
  <c r="T15" i="27" s="1"/>
  <c r="N6" i="27" a="1"/>
  <c r="N6" i="27" s="1"/>
  <c r="O6" i="27" s="1"/>
  <c r="T6" i="27" a="1"/>
  <c r="T6" i="27" s="1"/>
  <c r="N11" i="27" a="1"/>
  <c r="N11" i="27" s="1"/>
  <c r="O11" i="27" s="1"/>
  <c r="T11" i="27" a="1"/>
  <c r="T11" i="27" s="1"/>
  <c r="T5" i="27" a="1"/>
  <c r="T5" i="27" s="1"/>
  <c r="N5" i="27" a="1"/>
  <c r="N5" i="27" s="1"/>
  <c r="O5" i="27" s="1"/>
  <c r="N16" i="27" a="1"/>
  <c r="N16" i="27" s="1"/>
  <c r="O16" i="27" s="1"/>
  <c r="T16" i="27" a="1"/>
  <c r="T16" i="27" s="1"/>
  <c r="S17" i="27"/>
  <c r="R17" i="27"/>
  <c r="K17" i="27"/>
  <c r="T13" i="22" a="1"/>
  <c r="T13" i="22" s="1"/>
  <c r="T7" i="22" a="1"/>
  <c r="T7" i="22" s="1"/>
  <c r="N7" i="22" a="1"/>
  <c r="N7" i="22" s="1"/>
  <c r="O7" i="22" s="1"/>
  <c r="N6" i="21" a="1"/>
  <c r="N6" i="21" s="1"/>
  <c r="O6" i="21" s="1"/>
  <c r="T6" i="21" a="1"/>
  <c r="T6" i="21" s="1"/>
  <c r="N5" i="21" a="1"/>
  <c r="N5" i="21" s="1"/>
  <c r="O5" i="21" s="1"/>
  <c r="T5" i="21" a="1"/>
  <c r="T5" i="21" s="1"/>
  <c r="N6" i="22" a="1"/>
  <c r="N6" i="22" s="1"/>
  <c r="O6" i="22" s="1"/>
  <c r="T6" i="22" a="1"/>
  <c r="T6" i="22" s="1"/>
  <c r="N7" i="21" a="1"/>
  <c r="N7" i="21" s="1"/>
  <c r="O7" i="21" s="1"/>
  <c r="T7" i="21" a="1"/>
  <c r="T7" i="21" s="1"/>
  <c r="N12" i="22" a="1"/>
  <c r="N12" i="22" s="1"/>
  <c r="O12" i="22" s="1"/>
  <c r="T12" i="22" a="1"/>
  <c r="T12" i="22" s="1"/>
  <c r="N11" i="22" a="1"/>
  <c r="N11" i="22" s="1"/>
  <c r="O11" i="22" s="1"/>
  <c r="T11" i="22" a="1"/>
  <c r="T11" i="22" s="1"/>
  <c r="N5" i="22" a="1"/>
  <c r="N5" i="22" s="1"/>
  <c r="O5" i="22" s="1"/>
  <c r="T5" i="22" a="1"/>
  <c r="T5" i="22" s="1"/>
  <c r="R15" i="22"/>
  <c r="Q16" i="22"/>
  <c r="Q17" i="22" s="1"/>
  <c r="K15" i="22"/>
  <c r="S15" i="22"/>
  <c r="T11" i="21" a="1"/>
  <c r="T11" i="21" s="1"/>
  <c r="N11" i="21" a="1"/>
  <c r="N11" i="21" s="1"/>
  <c r="O11" i="21" s="1"/>
  <c r="Q13" i="21"/>
  <c r="S12" i="21"/>
  <c r="R12" i="21"/>
  <c r="K12" i="21"/>
  <c r="M12" i="21" s="1"/>
  <c r="T5" i="18" a="1"/>
  <c r="T5" i="18" s="1"/>
  <c r="T9" i="18" a="1"/>
  <c r="T9" i="18" s="1"/>
  <c r="N7" i="18" a="1"/>
  <c r="N7" i="18" s="1"/>
  <c r="O7" i="18" s="1"/>
  <c r="T8" i="18" a="1"/>
  <c r="T8" i="18" s="1"/>
  <c r="N6" i="18" a="1"/>
  <c r="N6" i="18" s="1"/>
  <c r="O6" i="18" s="1"/>
  <c r="Q15" i="18"/>
  <c r="S14" i="18"/>
  <c r="K14" i="18"/>
  <c r="M14" i="18" s="1"/>
  <c r="R14" i="18"/>
  <c r="T13" i="18" a="1"/>
  <c r="T13" i="18" s="1"/>
  <c r="N13" i="18" a="1"/>
  <c r="N13" i="18" s="1"/>
  <c r="O13" i="18" s="1"/>
  <c r="M27" i="13"/>
  <c r="L6" i="5"/>
  <c r="L15" i="16"/>
  <c r="Q6" i="13"/>
  <c r="Q6" i="16"/>
  <c r="R5" i="16"/>
  <c r="K5" i="16"/>
  <c r="M5" i="16" s="1"/>
  <c r="R4" i="16"/>
  <c r="K4" i="16"/>
  <c r="S4" i="16"/>
  <c r="S5" i="16"/>
  <c r="K3" i="5"/>
  <c r="Q4" i="5"/>
  <c r="R24" i="20" l="1"/>
  <c r="S24" i="20"/>
  <c r="Q25" i="20"/>
  <c r="Q25" i="29"/>
  <c r="K24" i="29"/>
  <c r="S24" i="29"/>
  <c r="R24" i="29"/>
  <c r="Q7" i="16"/>
  <c r="Q8" i="16" s="1"/>
  <c r="L16" i="16"/>
  <c r="K17" i="22"/>
  <c r="R17" i="22"/>
  <c r="S17" i="22"/>
  <c r="Q18" i="22"/>
  <c r="S16" i="22"/>
  <c r="R16" i="22"/>
  <c r="K16" i="22"/>
  <c r="N12" i="21" a="1"/>
  <c r="N12" i="21" s="1"/>
  <c r="O12" i="21" s="1"/>
  <c r="T12" i="21" a="1"/>
  <c r="T12" i="21" s="1"/>
  <c r="K13" i="21"/>
  <c r="M13" i="21" s="1"/>
  <c r="S13" i="21"/>
  <c r="R13" i="21"/>
  <c r="S15" i="18"/>
  <c r="Q16" i="18"/>
  <c r="R15" i="18"/>
  <c r="K15" i="18"/>
  <c r="M15" i="18" s="1"/>
  <c r="N14" i="18" a="1"/>
  <c r="N14" i="18" s="1"/>
  <c r="O14" i="18" s="1"/>
  <c r="T14" i="18" a="1"/>
  <c r="T14" i="18" s="1"/>
  <c r="M28" i="13"/>
  <c r="Q5" i="5"/>
  <c r="L7" i="5"/>
  <c r="S6" i="13"/>
  <c r="L6" i="13"/>
  <c r="R6" i="13"/>
  <c r="K6" i="16"/>
  <c r="M6" i="16" s="1"/>
  <c r="R6" i="16"/>
  <c r="S6" i="16"/>
  <c r="S4" i="5"/>
  <c r="K4" i="5"/>
  <c r="R4" i="5"/>
  <c r="S25" i="20" l="1"/>
  <c r="R25" i="20"/>
  <c r="Q26" i="20"/>
  <c r="K25" i="29"/>
  <c r="R25" i="29"/>
  <c r="S25" i="29"/>
  <c r="Q26" i="29"/>
  <c r="L8" i="5"/>
  <c r="K5" i="5"/>
  <c r="M5" i="5" s="1"/>
  <c r="T5" i="5" s="1" a="1"/>
  <c r="T5" i="5" s="1"/>
  <c r="Q18" i="27"/>
  <c r="L17" i="16"/>
  <c r="L18" i="16" s="1"/>
  <c r="L19" i="16" s="1"/>
  <c r="L20" i="16" s="1"/>
  <c r="L21" i="16" s="1"/>
  <c r="L22" i="16" s="1"/>
  <c r="L23" i="16" s="1"/>
  <c r="L24" i="16" s="1"/>
  <c r="L25" i="16" s="1"/>
  <c r="S8" i="16"/>
  <c r="K8" i="16"/>
  <c r="R8" i="16"/>
  <c r="K7" i="16"/>
  <c r="R7" i="16"/>
  <c r="S7" i="16"/>
  <c r="Q9" i="16"/>
  <c r="Q19" i="22"/>
  <c r="K18" i="22"/>
  <c r="S18" i="22"/>
  <c r="R18" i="22"/>
  <c r="T13" i="21" a="1"/>
  <c r="T13" i="21" s="1"/>
  <c r="N13" i="21" a="1"/>
  <c r="N13" i="21" s="1"/>
  <c r="O13" i="21" s="1"/>
  <c r="T15" i="18" a="1"/>
  <c r="T15" i="18" s="1"/>
  <c r="N15" i="18" a="1"/>
  <c r="N15" i="18" s="1"/>
  <c r="O15" i="18" s="1"/>
  <c r="Q17" i="18"/>
  <c r="K16" i="18"/>
  <c r="M16" i="18" s="1"/>
  <c r="S16" i="18"/>
  <c r="R16" i="18"/>
  <c r="Q6" i="5"/>
  <c r="R5" i="5"/>
  <c r="S5" i="5"/>
  <c r="Q7" i="13"/>
  <c r="N5" i="16" a="1"/>
  <c r="N5" i="16" s="1"/>
  <c r="O5" i="16" s="1"/>
  <c r="T5" i="16" a="1"/>
  <c r="T5" i="16" s="1"/>
  <c r="Q27" i="20" l="1"/>
  <c r="R26" i="20"/>
  <c r="S26" i="20"/>
  <c r="K26" i="29"/>
  <c r="S26" i="29"/>
  <c r="R26" i="29"/>
  <c r="Q27" i="29"/>
  <c r="L9" i="5"/>
  <c r="R18" i="27"/>
  <c r="K18" i="27"/>
  <c r="S18" i="27"/>
  <c r="L26" i="16"/>
  <c r="L27" i="16" s="1"/>
  <c r="K6" i="5"/>
  <c r="M6" i="5" s="1"/>
  <c r="T6" i="5" s="1" a="1"/>
  <c r="T6" i="5" s="1"/>
  <c r="K9" i="16"/>
  <c r="S9" i="16"/>
  <c r="R9" i="16"/>
  <c r="Q10" i="16"/>
  <c r="Q20" i="22"/>
  <c r="S19" i="22"/>
  <c r="R19" i="22"/>
  <c r="K19" i="22"/>
  <c r="N16" i="18" a="1"/>
  <c r="N16" i="18" s="1"/>
  <c r="O16" i="18" s="1"/>
  <c r="T16" i="18" a="1"/>
  <c r="T16" i="18" s="1"/>
  <c r="S17" i="18"/>
  <c r="K17" i="18"/>
  <c r="Q18" i="18"/>
  <c r="R17" i="18"/>
  <c r="M29" i="13"/>
  <c r="S6" i="5"/>
  <c r="R6" i="5"/>
  <c r="S7" i="13"/>
  <c r="L7" i="13"/>
  <c r="Q8" i="13"/>
  <c r="R7" i="13"/>
  <c r="N6" i="16" a="1"/>
  <c r="N6" i="16" s="1"/>
  <c r="O6" i="16" s="1"/>
  <c r="T6" i="16" a="1"/>
  <c r="T6" i="16" s="1"/>
  <c r="N5" i="5" a="1"/>
  <c r="N5" i="5" s="1"/>
  <c r="O5" i="5" s="1"/>
  <c r="Q28" i="20" l="1"/>
  <c r="S27" i="20"/>
  <c r="R27" i="20"/>
  <c r="Q28" i="29"/>
  <c r="K27" i="29"/>
  <c r="R27" i="29"/>
  <c r="S27" i="29"/>
  <c r="L10" i="5"/>
  <c r="L28" i="16"/>
  <c r="L29" i="16" s="1"/>
  <c r="L30" i="16" s="1"/>
  <c r="L31" i="16" s="1"/>
  <c r="M9" i="16"/>
  <c r="T9" i="16" s="1" a="1"/>
  <c r="T9" i="16" s="1"/>
  <c r="Q7" i="5"/>
  <c r="S10" i="16"/>
  <c r="R10" i="16"/>
  <c r="K10" i="16"/>
  <c r="K20" i="22"/>
  <c r="Q21" i="22"/>
  <c r="R20" i="22"/>
  <c r="S20" i="22"/>
  <c r="Q19" i="18"/>
  <c r="K18" i="18"/>
  <c r="M18" i="18" s="1"/>
  <c r="R18" i="18"/>
  <c r="S18" i="18"/>
  <c r="M30" i="13"/>
  <c r="S8" i="13"/>
  <c r="L8" i="13"/>
  <c r="Q9" i="13"/>
  <c r="R8" i="13"/>
  <c r="N6" i="5" a="1"/>
  <c r="N6" i="5" s="1"/>
  <c r="O6" i="5" s="1"/>
  <c r="R28" i="20" l="1"/>
  <c r="Q29" i="20"/>
  <c r="S28" i="20"/>
  <c r="K28" i="29"/>
  <c r="R28" i="29"/>
  <c r="S28" i="29"/>
  <c r="Q29" i="29"/>
  <c r="Q8" i="5"/>
  <c r="R8" i="5" s="1"/>
  <c r="L11" i="5"/>
  <c r="L32" i="16"/>
  <c r="L33" i="16" s="1"/>
  <c r="N9" i="16" a="1"/>
  <c r="N9" i="16" s="1"/>
  <c r="O9" i="16" s="1"/>
  <c r="M10" i="16"/>
  <c r="T10" i="16" s="1" a="1"/>
  <c r="T10" i="16" s="1"/>
  <c r="Q19" i="27"/>
  <c r="R7" i="5"/>
  <c r="K7" i="5"/>
  <c r="M7" i="5" s="1"/>
  <c r="T7" i="5" s="1" a="1"/>
  <c r="T7" i="5" s="1"/>
  <c r="S7" i="5"/>
  <c r="Q11" i="16"/>
  <c r="Q22" i="22"/>
  <c r="S21" i="22"/>
  <c r="R21" i="22"/>
  <c r="K21" i="22"/>
  <c r="S19" i="18"/>
  <c r="K19" i="18"/>
  <c r="R19" i="18"/>
  <c r="N18" i="18" a="1"/>
  <c r="N18" i="18" s="1"/>
  <c r="O18" i="18" s="1"/>
  <c r="T18" i="18" a="1"/>
  <c r="T18" i="18" s="1"/>
  <c r="M31" i="13"/>
  <c r="S9" i="13"/>
  <c r="R9" i="13"/>
  <c r="S29" i="20" l="1"/>
  <c r="R29" i="20"/>
  <c r="Q30" i="20"/>
  <c r="Q30" i="29"/>
  <c r="R29" i="29"/>
  <c r="S29" i="29"/>
  <c r="K8" i="5"/>
  <c r="S8" i="5"/>
  <c r="L12" i="5"/>
  <c r="Q9" i="5"/>
  <c r="N10" i="16" a="1"/>
  <c r="N10" i="16" s="1"/>
  <c r="O10" i="16" s="1"/>
  <c r="Q20" i="27"/>
  <c r="S19" i="27"/>
  <c r="R19" i="27"/>
  <c r="K19" i="27"/>
  <c r="N7" i="5" a="1"/>
  <c r="N7" i="5" s="1"/>
  <c r="O7" i="5" s="1"/>
  <c r="Q12" i="16"/>
  <c r="R11" i="16"/>
  <c r="S11" i="16"/>
  <c r="K11" i="16"/>
  <c r="M11" i="16" s="1"/>
  <c r="R22" i="22"/>
  <c r="Q23" i="22"/>
  <c r="K22" i="22"/>
  <c r="S22" i="22"/>
  <c r="Q20" i="18"/>
  <c r="M32" i="13"/>
  <c r="L9" i="13"/>
  <c r="Q10" i="13"/>
  <c r="S30" i="20" l="1"/>
  <c r="R30" i="20"/>
  <c r="Q31" i="20"/>
  <c r="K29" i="29"/>
  <c r="K30" i="29"/>
  <c r="S30" i="29"/>
  <c r="Q31" i="29"/>
  <c r="R30" i="29"/>
  <c r="S9" i="5"/>
  <c r="R9" i="5"/>
  <c r="Q10" i="5"/>
  <c r="K9" i="5"/>
  <c r="L13" i="5"/>
  <c r="Q21" i="27"/>
  <c r="R20" i="27"/>
  <c r="K20" i="27"/>
  <c r="S20" i="27"/>
  <c r="T11" i="16" a="1"/>
  <c r="T11" i="16" s="1"/>
  <c r="N11" i="16" a="1"/>
  <c r="N11" i="16" s="1"/>
  <c r="O11" i="16" s="1"/>
  <c r="Q13" i="16"/>
  <c r="K12" i="16"/>
  <c r="N12" i="16" s="1" a="1"/>
  <c r="N12" i="16" s="1"/>
  <c r="O12" i="16" s="1"/>
  <c r="R12" i="16"/>
  <c r="S12" i="16"/>
  <c r="Q4" i="23"/>
  <c r="S23" i="22"/>
  <c r="R23" i="22"/>
  <c r="S20" i="18"/>
  <c r="K20" i="18"/>
  <c r="Q21" i="18"/>
  <c r="R20" i="18"/>
  <c r="M33" i="13"/>
  <c r="S10" i="13"/>
  <c r="L10" i="13"/>
  <c r="N10" i="13" s="1"/>
  <c r="Q11" i="13"/>
  <c r="R10" i="13"/>
  <c r="S31" i="20" l="1"/>
  <c r="R31" i="20"/>
  <c r="Q32" i="20"/>
  <c r="R31" i="29"/>
  <c r="K31" i="29"/>
  <c r="S31" i="29"/>
  <c r="Q32" i="29"/>
  <c r="L14" i="5"/>
  <c r="S10" i="5"/>
  <c r="Q11" i="5"/>
  <c r="R10" i="5"/>
  <c r="K10" i="5"/>
  <c r="M10" i="5" s="1"/>
  <c r="T10" i="5" s="1" a="1"/>
  <c r="T10" i="5" s="1"/>
  <c r="Q22" i="27"/>
  <c r="S21" i="27"/>
  <c r="R21" i="27"/>
  <c r="K21" i="27"/>
  <c r="S13" i="16"/>
  <c r="Q14" i="16"/>
  <c r="R13" i="16"/>
  <c r="K13" i="16"/>
  <c r="M13" i="16" s="1"/>
  <c r="K4" i="23"/>
  <c r="R4" i="23"/>
  <c r="S4" i="23"/>
  <c r="Q5" i="23"/>
  <c r="K23" i="22"/>
  <c r="Q24" i="22"/>
  <c r="Q14" i="21"/>
  <c r="Q22" i="18"/>
  <c r="S21" i="18"/>
  <c r="R21" i="18"/>
  <c r="K21" i="18"/>
  <c r="M34" i="13"/>
  <c r="O10" i="13" a="1"/>
  <c r="O10" i="13" s="1"/>
  <c r="P10" i="13" a="1"/>
  <c r="P10" i="13" s="1"/>
  <c r="S11" i="13"/>
  <c r="L11" i="13"/>
  <c r="Q12" i="13"/>
  <c r="R11" i="13"/>
  <c r="R32" i="20" l="1"/>
  <c r="S32" i="20"/>
  <c r="Q33" i="20"/>
  <c r="Q33" i="29"/>
  <c r="R32" i="29"/>
  <c r="K32" i="29"/>
  <c r="S32" i="29"/>
  <c r="S11" i="5"/>
  <c r="R11" i="5"/>
  <c r="K11" i="5"/>
  <c r="M11" i="5" s="1"/>
  <c r="T11" i="5" s="1" a="1"/>
  <c r="T11" i="5" s="1"/>
  <c r="Q12" i="5"/>
  <c r="N10" i="5" a="1"/>
  <c r="N10" i="5" s="1"/>
  <c r="O10" i="5" s="1"/>
  <c r="L15" i="5"/>
  <c r="R22" i="27"/>
  <c r="K22" i="27"/>
  <c r="S22" i="27"/>
  <c r="N13" i="16" a="1"/>
  <c r="N13" i="16" s="1"/>
  <c r="O13" i="16" s="1"/>
  <c r="T13" i="16" a="1"/>
  <c r="T13" i="16" s="1"/>
  <c r="Q15" i="16"/>
  <c r="S14" i="16"/>
  <c r="K14" i="16"/>
  <c r="M14" i="16" s="1"/>
  <c r="R14" i="16"/>
  <c r="Q6" i="23"/>
  <c r="S5" i="23"/>
  <c r="R5" i="23"/>
  <c r="K5" i="23"/>
  <c r="Q25" i="22"/>
  <c r="S24" i="22"/>
  <c r="R24" i="22"/>
  <c r="K24" i="22"/>
  <c r="K14" i="21"/>
  <c r="S14" i="21"/>
  <c r="Q15" i="21"/>
  <c r="R14" i="21"/>
  <c r="S22" i="18"/>
  <c r="Q23" i="18"/>
  <c r="R22" i="18"/>
  <c r="K22" i="18"/>
  <c r="M35" i="13"/>
  <c r="S12" i="13"/>
  <c r="L12" i="13"/>
  <c r="Q13" i="13"/>
  <c r="R12" i="13"/>
  <c r="Q34" i="20" l="1"/>
  <c r="R33" i="20"/>
  <c r="S33" i="20"/>
  <c r="S33" i="29"/>
  <c r="R33" i="29"/>
  <c r="K33" i="29"/>
  <c r="Q34" i="29"/>
  <c r="L16" i="5"/>
  <c r="N11" i="5" a="1"/>
  <c r="N11" i="5" s="1"/>
  <c r="O11" i="5" s="1"/>
  <c r="S12" i="5"/>
  <c r="Q13" i="5"/>
  <c r="K12" i="5"/>
  <c r="R12" i="5"/>
  <c r="Q23" i="27"/>
  <c r="Q24" i="27" s="1"/>
  <c r="Q25" i="27" s="1"/>
  <c r="N14" i="16" a="1"/>
  <c r="N14" i="16" s="1"/>
  <c r="O14" i="16" s="1"/>
  <c r="T14" i="16" a="1"/>
  <c r="T14" i="16" s="1"/>
  <c r="K15" i="16"/>
  <c r="Q16" i="16"/>
  <c r="R15" i="16"/>
  <c r="S15" i="16"/>
  <c r="Q7" i="23"/>
  <c r="Q8" i="23" s="1"/>
  <c r="R6" i="23"/>
  <c r="K6" i="23"/>
  <c r="S6" i="23"/>
  <c r="K25" i="22"/>
  <c r="Q26" i="22"/>
  <c r="R25" i="22"/>
  <c r="S25" i="22"/>
  <c r="Q16" i="21"/>
  <c r="S15" i="21"/>
  <c r="R15" i="21"/>
  <c r="K15" i="21"/>
  <c r="Q24" i="18"/>
  <c r="Q25" i="18" s="1"/>
  <c r="K23" i="18"/>
  <c r="R23" i="18"/>
  <c r="S23" i="18"/>
  <c r="M36" i="13"/>
  <c r="S13" i="13"/>
  <c r="L13" i="13"/>
  <c r="Q14" i="13"/>
  <c r="R13" i="13"/>
  <c r="Q35" i="20" l="1"/>
  <c r="S34" i="20"/>
  <c r="R34" i="20"/>
  <c r="Q35" i="29"/>
  <c r="S34" i="29"/>
  <c r="R34" i="29"/>
  <c r="K34" i="29"/>
  <c r="M34" i="29" s="1"/>
  <c r="K13" i="5"/>
  <c r="M13" i="5" s="1"/>
  <c r="Q14" i="5"/>
  <c r="S13" i="5"/>
  <c r="R13" i="5"/>
  <c r="L17" i="5"/>
  <c r="K25" i="27"/>
  <c r="R25" i="27"/>
  <c r="S25" i="27"/>
  <c r="Q26" i="27"/>
  <c r="R24" i="27"/>
  <c r="S24" i="27"/>
  <c r="R23" i="27"/>
  <c r="K23" i="27"/>
  <c r="S23" i="27"/>
  <c r="K8" i="23"/>
  <c r="R8" i="23"/>
  <c r="S8" i="23"/>
  <c r="K16" i="16"/>
  <c r="S16" i="16"/>
  <c r="R16" i="16"/>
  <c r="Q17" i="16"/>
  <c r="K7" i="23"/>
  <c r="R7" i="23"/>
  <c r="S7" i="23"/>
  <c r="Q9" i="23"/>
  <c r="K25" i="18"/>
  <c r="R25" i="18"/>
  <c r="S25" i="18"/>
  <c r="Q27" i="22"/>
  <c r="S26" i="22"/>
  <c r="R26" i="22"/>
  <c r="K26" i="22"/>
  <c r="Q17" i="21"/>
  <c r="R16" i="21"/>
  <c r="K16" i="21"/>
  <c r="S16" i="21"/>
  <c r="S24" i="18"/>
  <c r="K24" i="18"/>
  <c r="R24" i="18"/>
  <c r="Q26" i="18"/>
  <c r="M37" i="13"/>
  <c r="S14" i="13"/>
  <c r="L14" i="13"/>
  <c r="Q15" i="13"/>
  <c r="R14" i="13"/>
  <c r="S35" i="20" l="1"/>
  <c r="Q36" i="20"/>
  <c r="R35" i="20"/>
  <c r="T34" i="29" a="1"/>
  <c r="T34" i="29" s="1"/>
  <c r="N34" i="29" a="1"/>
  <c r="N34" i="29" s="1"/>
  <c r="O34" i="29" s="1"/>
  <c r="R35" i="29"/>
  <c r="S35" i="29"/>
  <c r="K35" i="29"/>
  <c r="Q36" i="29"/>
  <c r="L18" i="5"/>
  <c r="T13" i="5" a="1"/>
  <c r="T13" i="5" s="1"/>
  <c r="N13" i="5" a="1"/>
  <c r="N13" i="5" s="1"/>
  <c r="O13" i="5" s="1"/>
  <c r="K14" i="5"/>
  <c r="M14" i="5" s="1"/>
  <c r="R14" i="5"/>
  <c r="S14" i="5"/>
  <c r="Q15" i="5"/>
  <c r="K26" i="27"/>
  <c r="R26" i="27"/>
  <c r="S26" i="27"/>
  <c r="Q27" i="27"/>
  <c r="Q28" i="27" s="1"/>
  <c r="K24" i="27"/>
  <c r="K17" i="16"/>
  <c r="R17" i="16"/>
  <c r="S17" i="16"/>
  <c r="Q18" i="16"/>
  <c r="K9" i="23"/>
  <c r="M9" i="23" s="1"/>
  <c r="R9" i="23"/>
  <c r="S9" i="23"/>
  <c r="Q10" i="23"/>
  <c r="Q28" i="22"/>
  <c r="Q29" i="22" s="1"/>
  <c r="R27" i="22"/>
  <c r="S27" i="22"/>
  <c r="K27" i="22"/>
  <c r="Q18" i="21"/>
  <c r="S17" i="21"/>
  <c r="R17" i="21"/>
  <c r="K17" i="21"/>
  <c r="Q27" i="18"/>
  <c r="K26" i="18"/>
  <c r="S26" i="18"/>
  <c r="R26" i="18"/>
  <c r="M38" i="13"/>
  <c r="S15" i="13"/>
  <c r="L15" i="13"/>
  <c r="Q16" i="13"/>
  <c r="R15" i="13"/>
  <c r="R36" i="20" l="1"/>
  <c r="S36" i="20"/>
  <c r="Q37" i="20"/>
  <c r="S36" i="29"/>
  <c r="R36" i="29"/>
  <c r="K36" i="29"/>
  <c r="Q37" i="29"/>
  <c r="Q29" i="27"/>
  <c r="T14" i="5" a="1"/>
  <c r="T14" i="5" s="1"/>
  <c r="N14" i="5" a="1"/>
  <c r="N14" i="5" s="1"/>
  <c r="O14" i="5" s="1"/>
  <c r="L19" i="5"/>
  <c r="K15" i="5"/>
  <c r="M15" i="5" s="1"/>
  <c r="S15" i="5"/>
  <c r="R15" i="5"/>
  <c r="Q16" i="5"/>
  <c r="K28" i="27"/>
  <c r="R28" i="27"/>
  <c r="S28" i="27"/>
  <c r="K27" i="27"/>
  <c r="R27" i="27"/>
  <c r="S27" i="27"/>
  <c r="R18" i="16"/>
  <c r="S18" i="16"/>
  <c r="K18" i="16"/>
  <c r="N18" i="16" s="1" a="1"/>
  <c r="N18" i="16" s="1"/>
  <c r="O18" i="16" s="1"/>
  <c r="Q19" i="16"/>
  <c r="T9" i="23" a="1"/>
  <c r="T9" i="23" s="1"/>
  <c r="N9" i="23" a="1"/>
  <c r="N9" i="23" s="1"/>
  <c r="O9" i="23" s="1"/>
  <c r="K10" i="23"/>
  <c r="M10" i="23" s="1"/>
  <c r="R10" i="23"/>
  <c r="S10" i="23"/>
  <c r="Q11" i="23"/>
  <c r="K29" i="22"/>
  <c r="R29" i="22"/>
  <c r="S29" i="22"/>
  <c r="Q30" i="22"/>
  <c r="S28" i="22"/>
  <c r="R28" i="22"/>
  <c r="K28" i="22"/>
  <c r="S18" i="21"/>
  <c r="Q19" i="21"/>
  <c r="Q20" i="21" s="1"/>
  <c r="R18" i="21"/>
  <c r="K18" i="21"/>
  <c r="S27" i="18"/>
  <c r="R27" i="18"/>
  <c r="K27" i="18"/>
  <c r="Q28" i="18"/>
  <c r="S16" i="13"/>
  <c r="L16" i="13"/>
  <c r="Q17" i="13"/>
  <c r="R16" i="13"/>
  <c r="Q38" i="20" l="1"/>
  <c r="S37" i="20"/>
  <c r="R37" i="20"/>
  <c r="Q38" i="29"/>
  <c r="R37" i="29"/>
  <c r="K37" i="29"/>
  <c r="S37" i="29"/>
  <c r="K29" i="27"/>
  <c r="S29" i="27"/>
  <c r="R29" i="27"/>
  <c r="Q30" i="27"/>
  <c r="T15" i="5" a="1"/>
  <c r="T15" i="5" s="1"/>
  <c r="N15" i="5" a="1"/>
  <c r="N15" i="5" s="1"/>
  <c r="O15" i="5" s="1"/>
  <c r="L20" i="5"/>
  <c r="R16" i="5"/>
  <c r="Q17" i="5"/>
  <c r="S16" i="5"/>
  <c r="K16" i="5"/>
  <c r="M16" i="5" s="1"/>
  <c r="T16" i="5" s="1" a="1"/>
  <c r="T16" i="5" s="1"/>
  <c r="Q20" i="16"/>
  <c r="K19" i="16"/>
  <c r="N19" i="16" s="1" a="1"/>
  <c r="N19" i="16" s="1"/>
  <c r="O19" i="16" s="1"/>
  <c r="S19" i="16"/>
  <c r="R19" i="16"/>
  <c r="Q12" i="23"/>
  <c r="K11" i="23"/>
  <c r="S11" i="23"/>
  <c r="R11" i="23"/>
  <c r="N10" i="23" a="1"/>
  <c r="N10" i="23" s="1"/>
  <c r="O10" i="23" s="1"/>
  <c r="T10" i="23" a="1"/>
  <c r="T10" i="23" s="1"/>
  <c r="K30" i="22"/>
  <c r="M30" i="22" s="1"/>
  <c r="R30" i="22"/>
  <c r="Q31" i="22"/>
  <c r="S30" i="22"/>
  <c r="K20" i="21"/>
  <c r="R20" i="21"/>
  <c r="S20" i="21"/>
  <c r="S19" i="21"/>
  <c r="R19" i="21"/>
  <c r="K19" i="21"/>
  <c r="Q29" i="18"/>
  <c r="R28" i="18"/>
  <c r="K28" i="18"/>
  <c r="S28" i="18"/>
  <c r="M39" i="13"/>
  <c r="S17" i="13"/>
  <c r="L17" i="13"/>
  <c r="Q18" i="13"/>
  <c r="R17" i="13"/>
  <c r="Q39" i="20" l="1"/>
  <c r="R38" i="20"/>
  <c r="S38" i="20"/>
  <c r="S38" i="29"/>
  <c r="R38" i="29"/>
  <c r="K38" i="29"/>
  <c r="Q39" i="29"/>
  <c r="Q31" i="27"/>
  <c r="R30" i="27"/>
  <c r="S30" i="27"/>
  <c r="Q18" i="5"/>
  <c r="K17" i="5"/>
  <c r="S17" i="5"/>
  <c r="R17" i="5"/>
  <c r="L21" i="5"/>
  <c r="N16" i="5" a="1"/>
  <c r="N16" i="5" s="1"/>
  <c r="O16" i="5" s="1"/>
  <c r="K20" i="16"/>
  <c r="N20" i="16" s="1" a="1"/>
  <c r="N20" i="16" s="1"/>
  <c r="O20" i="16" s="1"/>
  <c r="R20" i="16"/>
  <c r="S20" i="16"/>
  <c r="Q21" i="16"/>
  <c r="K12" i="23"/>
  <c r="Q13" i="23"/>
  <c r="S12" i="23"/>
  <c r="R12" i="23"/>
  <c r="N30" i="22" a="1"/>
  <c r="N30" i="22" s="1"/>
  <c r="O30" i="22" s="1"/>
  <c r="T30" i="22" a="1"/>
  <c r="T30" i="22" s="1"/>
  <c r="Q32" i="22"/>
  <c r="S31" i="22"/>
  <c r="R31" i="22"/>
  <c r="K31" i="22"/>
  <c r="K29" i="18"/>
  <c r="R29" i="18"/>
  <c r="S29" i="18"/>
  <c r="Q30" i="18"/>
  <c r="M40" i="13"/>
  <c r="S18" i="13"/>
  <c r="L18" i="13"/>
  <c r="Q19" i="13"/>
  <c r="R18" i="13"/>
  <c r="Q40" i="20" l="1"/>
  <c r="R39" i="20"/>
  <c r="S39" i="20"/>
  <c r="S39" i="29"/>
  <c r="R39" i="29"/>
  <c r="K39" i="29"/>
  <c r="M39" i="29" s="1"/>
  <c r="Q40" i="29"/>
  <c r="K30" i="27"/>
  <c r="R31" i="27"/>
  <c r="S31" i="27"/>
  <c r="Q32" i="27"/>
  <c r="K31" i="27"/>
  <c r="S18" i="5"/>
  <c r="K18" i="5"/>
  <c r="M18" i="5" s="1"/>
  <c r="Q19" i="5"/>
  <c r="R18" i="5"/>
  <c r="L22" i="5"/>
  <c r="K21" i="16"/>
  <c r="R21" i="16"/>
  <c r="Q22" i="16"/>
  <c r="S21" i="16"/>
  <c r="R13" i="23"/>
  <c r="S13" i="23"/>
  <c r="R32" i="22"/>
  <c r="Q33" i="22"/>
  <c r="Q34" i="22" s="1"/>
  <c r="K32" i="22"/>
  <c r="S32" i="22"/>
  <c r="K30" i="18"/>
  <c r="R30" i="18"/>
  <c r="S30" i="18"/>
  <c r="Q31" i="18"/>
  <c r="M41" i="13"/>
  <c r="S19" i="13"/>
  <c r="L19" i="13"/>
  <c r="Q20" i="13"/>
  <c r="R19" i="13"/>
  <c r="R40" i="20" l="1"/>
  <c r="S40" i="20"/>
  <c r="Q41" i="20"/>
  <c r="K40" i="29"/>
  <c r="R40" i="29"/>
  <c r="S40" i="29"/>
  <c r="Q41" i="29"/>
  <c r="N39" i="29" a="1"/>
  <c r="N39" i="29" s="1"/>
  <c r="O39" i="29" s="1"/>
  <c r="T39" i="29" a="1"/>
  <c r="T39" i="29" s="1"/>
  <c r="K34" i="22"/>
  <c r="R34" i="22"/>
  <c r="S34" i="22"/>
  <c r="K32" i="27"/>
  <c r="Q33" i="27"/>
  <c r="R32" i="27"/>
  <c r="S32" i="27"/>
  <c r="L23" i="5"/>
  <c r="S19" i="5"/>
  <c r="K19" i="5"/>
  <c r="R19" i="5"/>
  <c r="Q20" i="5"/>
  <c r="T18" i="5" a="1"/>
  <c r="T18" i="5" s="1"/>
  <c r="N18" i="5" a="1"/>
  <c r="N18" i="5" s="1"/>
  <c r="O18" i="5" s="1"/>
  <c r="Q23" i="16"/>
  <c r="K22" i="16"/>
  <c r="R22" i="16"/>
  <c r="S22" i="16"/>
  <c r="K13" i="23"/>
  <c r="Q14" i="23"/>
  <c r="S33" i="22"/>
  <c r="R33" i="22"/>
  <c r="K33" i="22"/>
  <c r="M33" i="22" s="1"/>
  <c r="K31" i="18"/>
  <c r="R31" i="18"/>
  <c r="S31" i="18"/>
  <c r="Q32" i="18"/>
  <c r="Q33" i="18" s="1"/>
  <c r="M42" i="13"/>
  <c r="M43" i="13" s="1"/>
  <c r="M44" i="13" s="1"/>
  <c r="M45" i="13" s="1"/>
  <c r="M46" i="13" s="1"/>
  <c r="M47" i="13" s="1"/>
  <c r="M48" i="13" s="1"/>
  <c r="M49" i="13" s="1"/>
  <c r="S20" i="13"/>
  <c r="L20" i="13"/>
  <c r="Q21" i="13"/>
  <c r="R20" i="13"/>
  <c r="S41" i="20" l="1"/>
  <c r="Q42" i="20"/>
  <c r="R41" i="20"/>
  <c r="Q42" i="29"/>
  <c r="R41" i="29"/>
  <c r="S41" i="29"/>
  <c r="K41" i="29"/>
  <c r="Q34" i="27"/>
  <c r="S33" i="27"/>
  <c r="K33" i="27"/>
  <c r="R33" i="27"/>
  <c r="Q21" i="5"/>
  <c r="S20" i="5"/>
  <c r="K20" i="5"/>
  <c r="R20" i="5"/>
  <c r="L24" i="5"/>
  <c r="R23" i="16"/>
  <c r="S23" i="16"/>
  <c r="Q24" i="16"/>
  <c r="K23" i="16"/>
  <c r="S14" i="23"/>
  <c r="Q15" i="23"/>
  <c r="R14" i="23"/>
  <c r="K14" i="23"/>
  <c r="M14" i="23" s="1"/>
  <c r="N33" i="22" a="1"/>
  <c r="N33" i="22" s="1"/>
  <c r="O33" i="22" s="1"/>
  <c r="T33" i="22" a="1"/>
  <c r="T33" i="22" s="1"/>
  <c r="Q35" i="22"/>
  <c r="K33" i="18"/>
  <c r="R33" i="18"/>
  <c r="S33" i="18"/>
  <c r="Q34" i="18"/>
  <c r="K32" i="18"/>
  <c r="R32" i="18"/>
  <c r="S32" i="18"/>
  <c r="S21" i="13"/>
  <c r="L21" i="13"/>
  <c r="Q22" i="13"/>
  <c r="R21" i="13"/>
  <c r="Q43" i="20" l="1"/>
  <c r="S42" i="20"/>
  <c r="R42" i="20"/>
  <c r="Q43" i="29"/>
  <c r="S42" i="29"/>
  <c r="R42" i="29"/>
  <c r="K42" i="29"/>
  <c r="K34" i="27"/>
  <c r="S34" i="27"/>
  <c r="R34" i="27"/>
  <c r="L25" i="5"/>
  <c r="Q22" i="5"/>
  <c r="S21" i="5"/>
  <c r="R21" i="5"/>
  <c r="K21" i="5"/>
  <c r="Q35" i="27"/>
  <c r="N14" i="23" a="1"/>
  <c r="N14" i="23" s="1"/>
  <c r="O14" i="23" s="1"/>
  <c r="T14" i="23" a="1"/>
  <c r="T14" i="23" s="1"/>
  <c r="R24" i="16"/>
  <c r="Q25" i="16"/>
  <c r="K24" i="16"/>
  <c r="S24" i="16"/>
  <c r="Q16" i="23"/>
  <c r="R15" i="23"/>
  <c r="K15" i="23"/>
  <c r="S15" i="23"/>
  <c r="S35" i="22"/>
  <c r="R35" i="22"/>
  <c r="K35" i="22"/>
  <c r="K34" i="18"/>
  <c r="R34" i="18"/>
  <c r="Q35" i="18"/>
  <c r="S34" i="18"/>
  <c r="S22" i="13"/>
  <c r="L22" i="13"/>
  <c r="Q23" i="13"/>
  <c r="R22" i="13"/>
  <c r="S43" i="20" l="1"/>
  <c r="Q44" i="20"/>
  <c r="R43" i="20"/>
  <c r="R43" i="29"/>
  <c r="K43" i="29"/>
  <c r="S43" i="29"/>
  <c r="K22" i="5"/>
  <c r="S22" i="5"/>
  <c r="R22" i="5"/>
  <c r="Q23" i="5"/>
  <c r="L26" i="5"/>
  <c r="S35" i="27"/>
  <c r="R35" i="27"/>
  <c r="K35" i="27"/>
  <c r="S25" i="16"/>
  <c r="K25" i="16"/>
  <c r="R25" i="16"/>
  <c r="S16" i="23"/>
  <c r="K16" i="23"/>
  <c r="R16" i="23"/>
  <c r="Q36" i="22"/>
  <c r="K35" i="18"/>
  <c r="R35" i="18"/>
  <c r="S35" i="18"/>
  <c r="Q36" i="18"/>
  <c r="S23" i="13"/>
  <c r="L23" i="13"/>
  <c r="Q24" i="13"/>
  <c r="R23" i="13"/>
  <c r="R44" i="20" l="1"/>
  <c r="Q45" i="20"/>
  <c r="S44" i="20"/>
  <c r="K23" i="5"/>
  <c r="R23" i="5"/>
  <c r="Q24" i="5"/>
  <c r="S23" i="5"/>
  <c r="L27" i="5"/>
  <c r="Q26" i="16"/>
  <c r="Q17" i="23"/>
  <c r="S36" i="22"/>
  <c r="R36" i="22"/>
  <c r="K36" i="22"/>
  <c r="K36" i="18"/>
  <c r="R36" i="18"/>
  <c r="S36" i="18"/>
  <c r="Q37" i="18"/>
  <c r="S24" i="13"/>
  <c r="L24" i="13"/>
  <c r="Q25" i="13"/>
  <c r="R24" i="13"/>
  <c r="R45" i="20" l="1"/>
  <c r="S45" i="20"/>
  <c r="Q46" i="20"/>
  <c r="L28" i="5"/>
  <c r="R24" i="5"/>
  <c r="K24" i="5"/>
  <c r="Q25" i="5"/>
  <c r="S24" i="5"/>
  <c r="K26" i="16"/>
  <c r="Q27" i="16"/>
  <c r="Q28" i="16" s="1"/>
  <c r="R26" i="16"/>
  <c r="S26" i="16"/>
  <c r="R17" i="23"/>
  <c r="S17" i="23"/>
  <c r="K17" i="23"/>
  <c r="Q37" i="22"/>
  <c r="Q21" i="21"/>
  <c r="R37" i="18"/>
  <c r="S37" i="18"/>
  <c r="S25" i="13"/>
  <c r="L25" i="13"/>
  <c r="R25" i="13"/>
  <c r="Q47" i="20" l="1"/>
  <c r="R46" i="20"/>
  <c r="S46" i="20"/>
  <c r="R25" i="5"/>
  <c r="K25" i="5"/>
  <c r="Q26" i="5"/>
  <c r="S25" i="5"/>
  <c r="L29" i="5"/>
  <c r="K28" i="16"/>
  <c r="R28" i="16"/>
  <c r="S28" i="16"/>
  <c r="K27" i="16"/>
  <c r="Q29" i="16"/>
  <c r="Q30" i="16" s="1"/>
  <c r="S27" i="16"/>
  <c r="R27" i="16"/>
  <c r="S37" i="22"/>
  <c r="R37" i="22"/>
  <c r="K37" i="22"/>
  <c r="K21" i="21"/>
  <c r="S21" i="21"/>
  <c r="R21" i="21"/>
  <c r="Q22" i="21"/>
  <c r="K37" i="18"/>
  <c r="Q38" i="18"/>
  <c r="Q26" i="13"/>
  <c r="Q48" i="20" l="1"/>
  <c r="R47" i="20"/>
  <c r="S47" i="20"/>
  <c r="K26" i="5"/>
  <c r="S26" i="5"/>
  <c r="R26" i="5"/>
  <c r="Q27" i="5"/>
  <c r="L30" i="5"/>
  <c r="Q31" i="16"/>
  <c r="K30" i="16"/>
  <c r="R30" i="16"/>
  <c r="S30" i="16"/>
  <c r="R29" i="16"/>
  <c r="K29" i="16"/>
  <c r="S29" i="16"/>
  <c r="S22" i="21"/>
  <c r="R22" i="21"/>
  <c r="S38" i="18"/>
  <c r="R38" i="18"/>
  <c r="Q39" i="18"/>
  <c r="K38" i="18"/>
  <c r="S26" i="13"/>
  <c r="L26" i="13"/>
  <c r="Q27" i="13"/>
  <c r="R26" i="13"/>
  <c r="R48" i="20" l="1"/>
  <c r="S48" i="20"/>
  <c r="Q49" i="20"/>
  <c r="L31" i="5"/>
  <c r="K27" i="5"/>
  <c r="R27" i="5"/>
  <c r="S27" i="5"/>
  <c r="Q28" i="5"/>
  <c r="K31" i="16"/>
  <c r="R31" i="16"/>
  <c r="S31" i="16"/>
  <c r="Q32" i="16"/>
  <c r="Q18" i="23"/>
  <c r="K22" i="21"/>
  <c r="Q23" i="21"/>
  <c r="Q40" i="18"/>
  <c r="S39" i="18"/>
  <c r="K39" i="18"/>
  <c r="R39" i="18"/>
  <c r="S27" i="13"/>
  <c r="L27" i="13"/>
  <c r="Q28" i="13"/>
  <c r="R27" i="13"/>
  <c r="Q50" i="20" l="1"/>
  <c r="S49" i="20"/>
  <c r="R49" i="20"/>
  <c r="L32" i="5"/>
  <c r="Q29" i="5"/>
  <c r="K28" i="5"/>
  <c r="S28" i="5"/>
  <c r="R28" i="5"/>
  <c r="R32" i="16"/>
  <c r="K32" i="16"/>
  <c r="S32" i="16"/>
  <c r="Q19" i="23"/>
  <c r="S18" i="23"/>
  <c r="R18" i="23"/>
  <c r="Q24" i="21"/>
  <c r="Q25" i="21" s="1"/>
  <c r="S23" i="21"/>
  <c r="R23" i="21"/>
  <c r="K23" i="21"/>
  <c r="S40" i="18"/>
  <c r="K40" i="18"/>
  <c r="Q41" i="18"/>
  <c r="R40" i="18"/>
  <c r="S28" i="13"/>
  <c r="R28" i="13"/>
  <c r="R50" i="20" l="1"/>
  <c r="S50" i="20"/>
  <c r="R29" i="5"/>
  <c r="S29" i="5"/>
  <c r="Q30" i="5"/>
  <c r="Q31" i="5" s="1"/>
  <c r="K29" i="5"/>
  <c r="L33" i="5"/>
  <c r="K19" i="23"/>
  <c r="R19" i="23"/>
  <c r="S19" i="23"/>
  <c r="K18" i="23"/>
  <c r="Q20" i="23"/>
  <c r="K25" i="21"/>
  <c r="R25" i="21"/>
  <c r="S25" i="21"/>
  <c r="K24" i="21"/>
  <c r="S24" i="21"/>
  <c r="R24" i="21"/>
  <c r="Q26" i="21"/>
  <c r="K41" i="18"/>
  <c r="S41" i="18"/>
  <c r="Q42" i="18"/>
  <c r="R41" i="18"/>
  <c r="L28" i="13"/>
  <c r="Q29" i="13"/>
  <c r="R30" i="5" l="1"/>
  <c r="S30" i="5"/>
  <c r="K30" i="5"/>
  <c r="L34" i="5"/>
  <c r="R31" i="5"/>
  <c r="K31" i="5"/>
  <c r="S31" i="5"/>
  <c r="K20" i="23"/>
  <c r="Q21" i="23"/>
  <c r="Q22" i="23" s="1"/>
  <c r="S20" i="23"/>
  <c r="R20" i="23"/>
  <c r="Q27" i="21"/>
  <c r="S26" i="21"/>
  <c r="R26" i="21"/>
  <c r="K26" i="21"/>
  <c r="Q43" i="18"/>
  <c r="Q44" i="18" s="1"/>
  <c r="K42" i="18"/>
  <c r="R42" i="18"/>
  <c r="S42" i="18"/>
  <c r="S29" i="13"/>
  <c r="L29" i="13"/>
  <c r="N29" i="13" s="1"/>
  <c r="Q30" i="13"/>
  <c r="R29" i="13"/>
  <c r="S44" i="18" l="1"/>
  <c r="K44" i="18"/>
  <c r="R44" i="18"/>
  <c r="L35" i="5"/>
  <c r="R22" i="23"/>
  <c r="S22" i="23"/>
  <c r="R21" i="23"/>
  <c r="K21" i="23"/>
  <c r="S21" i="23"/>
  <c r="Q28" i="21"/>
  <c r="K27" i="21"/>
  <c r="S27" i="21"/>
  <c r="R27" i="21"/>
  <c r="K43" i="18"/>
  <c r="R43" i="18"/>
  <c r="S43" i="18"/>
  <c r="P29" i="13" a="1"/>
  <c r="P29" i="13" s="1"/>
  <c r="S30" i="13"/>
  <c r="L30" i="13"/>
  <c r="Q31" i="13"/>
  <c r="R30" i="13"/>
  <c r="L36" i="5" l="1"/>
  <c r="K22" i="23"/>
  <c r="Q23" i="23"/>
  <c r="R28" i="21"/>
  <c r="S28" i="21"/>
  <c r="K28" i="21"/>
  <c r="Q29" i="21"/>
  <c r="O29" i="13" a="1"/>
  <c r="O29" i="13" s="1"/>
  <c r="S31" i="13"/>
  <c r="L31" i="13"/>
  <c r="N31" i="13" s="1"/>
  <c r="Q32" i="13"/>
  <c r="R31" i="13"/>
  <c r="L37" i="5" l="1"/>
  <c r="K23" i="23"/>
  <c r="M23" i="23" s="1"/>
  <c r="R23" i="23"/>
  <c r="Q24" i="23"/>
  <c r="S23" i="23"/>
  <c r="Q30" i="21"/>
  <c r="K29" i="21"/>
  <c r="M29" i="21" s="1"/>
  <c r="R29" i="21"/>
  <c r="S29" i="21"/>
  <c r="S32" i="13"/>
  <c r="L32" i="13"/>
  <c r="Q33" i="13"/>
  <c r="R32" i="13"/>
  <c r="L38" i="5" l="1"/>
  <c r="N23" i="23" a="1"/>
  <c r="N23" i="23" s="1"/>
  <c r="O23" i="23" s="1"/>
  <c r="T23" i="23" a="1"/>
  <c r="T23" i="23" s="1"/>
  <c r="S24" i="23"/>
  <c r="K24" i="23"/>
  <c r="R24" i="23"/>
  <c r="Q25" i="23"/>
  <c r="T29" i="21" a="1"/>
  <c r="T29" i="21" s="1"/>
  <c r="N29" i="21" a="1"/>
  <c r="N29" i="21" s="1"/>
  <c r="O29" i="21" s="1"/>
  <c r="Q31" i="21"/>
  <c r="Q32" i="21" s="1"/>
  <c r="S30" i="21"/>
  <c r="K30" i="21"/>
  <c r="R30" i="21"/>
  <c r="P31" i="13" a="1"/>
  <c r="P31" i="13" s="1"/>
  <c r="O31" i="13" a="1"/>
  <c r="O31" i="13" s="1"/>
  <c r="S33" i="13"/>
  <c r="L33" i="13"/>
  <c r="Q34" i="13"/>
  <c r="R33" i="13"/>
  <c r="L39" i="5" l="1"/>
  <c r="K32" i="21"/>
  <c r="R32" i="21"/>
  <c r="S32" i="21"/>
  <c r="Q36" i="27"/>
  <c r="S25" i="23"/>
  <c r="K25" i="23"/>
  <c r="R25" i="23"/>
  <c r="Q33" i="21"/>
  <c r="S31" i="21"/>
  <c r="K31" i="21"/>
  <c r="R31" i="21"/>
  <c r="S34" i="13"/>
  <c r="L34" i="13"/>
  <c r="Q35" i="13"/>
  <c r="R34" i="13"/>
  <c r="L40" i="5" l="1"/>
  <c r="S36" i="27"/>
  <c r="R36" i="27"/>
  <c r="K36" i="27"/>
  <c r="Q26" i="23"/>
  <c r="K33" i="21"/>
  <c r="M33" i="21" s="1"/>
  <c r="R33" i="21"/>
  <c r="S33" i="21"/>
  <c r="S35" i="13"/>
  <c r="L35" i="13"/>
  <c r="Q36" i="13"/>
  <c r="R35" i="13"/>
  <c r="L41" i="5" l="1"/>
  <c r="N33" i="21" a="1"/>
  <c r="N33" i="21" s="1"/>
  <c r="O33" i="21" s="1"/>
  <c r="T33" i="21" a="1"/>
  <c r="T33" i="21" s="1"/>
  <c r="R26" i="23"/>
  <c r="K26" i="23"/>
  <c r="S26" i="23"/>
  <c r="Q34" i="21"/>
  <c r="S36" i="13"/>
  <c r="L36" i="13"/>
  <c r="Q37" i="13"/>
  <c r="R36" i="13"/>
  <c r="L42" i="5" l="1"/>
  <c r="S34" i="21"/>
  <c r="R34" i="21"/>
  <c r="K34" i="21"/>
  <c r="S37" i="13"/>
  <c r="L37" i="13"/>
  <c r="Q38" i="13"/>
  <c r="R37" i="13"/>
  <c r="L43" i="5" l="1"/>
  <c r="Q35" i="21"/>
  <c r="S38" i="13"/>
  <c r="L38" i="13"/>
  <c r="R38" i="13"/>
  <c r="L44" i="5" l="1"/>
  <c r="S35" i="21"/>
  <c r="R35" i="21"/>
  <c r="K35" i="21"/>
  <c r="Q39" i="13"/>
  <c r="L45" i="5" l="1"/>
  <c r="Q36" i="21"/>
  <c r="Q40" i="13"/>
  <c r="L40" i="13" s="1"/>
  <c r="S39" i="13"/>
  <c r="L39" i="13"/>
  <c r="R39" i="13"/>
  <c r="L46" i="5" l="1"/>
  <c r="S36" i="21"/>
  <c r="R36" i="21"/>
  <c r="K36" i="21"/>
  <c r="S40" i="13"/>
  <c r="Q41" i="13"/>
  <c r="S41" i="13" s="1"/>
  <c r="R40" i="13"/>
  <c r="L47" i="5" l="1"/>
  <c r="R41" i="13"/>
  <c r="L41" i="13" s="1"/>
  <c r="Q32" i="5"/>
  <c r="L48" i="5" l="1"/>
  <c r="Q45" i="18"/>
  <c r="Q46" i="18" s="1"/>
  <c r="Q42" i="13"/>
  <c r="S42" i="13" s="1"/>
  <c r="R32" i="5"/>
  <c r="S32" i="5"/>
  <c r="K32" i="5"/>
  <c r="Q33" i="5"/>
  <c r="L49" i="5" l="1"/>
  <c r="R46" i="18"/>
  <c r="S46" i="18"/>
  <c r="Q47" i="18"/>
  <c r="Q27" i="23"/>
  <c r="R45" i="18"/>
  <c r="S45" i="18"/>
  <c r="R42" i="13"/>
  <c r="Q43" i="13"/>
  <c r="S43" i="13" s="1"/>
  <c r="L42" i="13"/>
  <c r="N42" i="13" s="1"/>
  <c r="Q34" i="5"/>
  <c r="R33" i="5"/>
  <c r="S33" i="5"/>
  <c r="K33" i="5"/>
  <c r="O42" i="13" l="1" a="1"/>
  <c r="O42" i="13" s="1"/>
  <c r="P42" i="13" a="1"/>
  <c r="P42" i="13" s="1"/>
  <c r="L50" i="5"/>
  <c r="K46" i="18"/>
  <c r="S27" i="23"/>
  <c r="R27" i="23"/>
  <c r="K27" i="23"/>
  <c r="K45" i="18"/>
  <c r="Q48" i="18"/>
  <c r="Q49" i="18" s="1"/>
  <c r="R47" i="18"/>
  <c r="K47" i="18"/>
  <c r="S47" i="18"/>
  <c r="R43" i="13"/>
  <c r="L43" i="13"/>
  <c r="R34" i="5"/>
  <c r="K34" i="5"/>
  <c r="Q35" i="5"/>
  <c r="S34" i="5"/>
  <c r="L51" i="5" l="1"/>
  <c r="Q28" i="23"/>
  <c r="K49" i="18"/>
  <c r="R49" i="18"/>
  <c r="S49" i="18"/>
  <c r="S48" i="18"/>
  <c r="R48" i="18"/>
  <c r="K48" i="18"/>
  <c r="Q44" i="13"/>
  <c r="L44" i="13" s="1"/>
  <c r="K35" i="5"/>
  <c r="Q36" i="5"/>
  <c r="R35" i="5"/>
  <c r="S35" i="5"/>
  <c r="L52" i="5" l="1"/>
  <c r="S28" i="23"/>
  <c r="R28" i="23"/>
  <c r="K28" i="23"/>
  <c r="S44" i="13"/>
  <c r="R44" i="13"/>
  <c r="Q45" i="13"/>
  <c r="Q46" i="13" s="1"/>
  <c r="Q47" i="13" s="1"/>
  <c r="Q48" i="13" s="1"/>
  <c r="L48" i="13" s="1"/>
  <c r="K36" i="5"/>
  <c r="Q37" i="5"/>
  <c r="R36" i="5"/>
  <c r="S36" i="5"/>
  <c r="L53" i="5" l="1"/>
  <c r="S45" i="13"/>
  <c r="R45" i="13"/>
  <c r="R46" i="13"/>
  <c r="S48" i="13"/>
  <c r="R47" i="13"/>
  <c r="S46" i="13"/>
  <c r="R48" i="13"/>
  <c r="Q49" i="13"/>
  <c r="L49" i="13" s="1"/>
  <c r="L47" i="13"/>
  <c r="L45" i="13"/>
  <c r="S47" i="13"/>
  <c r="R37" i="5"/>
  <c r="S37" i="5"/>
  <c r="Q38" i="5"/>
  <c r="K37" i="5"/>
  <c r="L46" i="13" l="1"/>
  <c r="R49" i="13"/>
  <c r="S49" i="13"/>
  <c r="S38" i="5"/>
  <c r="R38" i="5"/>
  <c r="K38" i="5"/>
  <c r="Q39" i="5" l="1"/>
  <c r="Q50" i="18" l="1"/>
  <c r="Q40" i="5"/>
  <c r="K39" i="5"/>
  <c r="R39" i="5"/>
  <c r="S39" i="5"/>
  <c r="R50" i="18" l="1"/>
  <c r="S50" i="18"/>
  <c r="K50" i="18"/>
  <c r="Q51" i="18"/>
  <c r="R40" i="5"/>
  <c r="S40" i="5"/>
  <c r="R51" i="18" l="1"/>
  <c r="K51" i="18"/>
  <c r="S51" i="18"/>
  <c r="K40" i="5"/>
  <c r="Q41" i="5" l="1"/>
  <c r="K41" i="5" l="1"/>
  <c r="R41" i="5"/>
  <c r="S41" i="5"/>
  <c r="Q42" i="5" l="1"/>
  <c r="Q33" i="16"/>
  <c r="Q43" i="5" l="1"/>
  <c r="R42" i="5"/>
  <c r="K42" i="5"/>
  <c r="S42" i="5"/>
  <c r="S33" i="16"/>
  <c r="R33" i="16"/>
  <c r="K33" i="16"/>
  <c r="K43" i="5" l="1"/>
  <c r="S43" i="5"/>
  <c r="Q44" i="5"/>
  <c r="R43" i="5"/>
  <c r="R44" i="5" l="1"/>
  <c r="S44" i="5"/>
  <c r="Q45" i="5"/>
  <c r="K44" i="5"/>
  <c r="K45" i="5" l="1"/>
  <c r="M45" i="5" s="1"/>
  <c r="Q46" i="5"/>
  <c r="S45" i="5"/>
  <c r="R45" i="5"/>
  <c r="T45" i="5" l="1" a="1"/>
  <c r="T45" i="5" s="1"/>
  <c r="N45" i="5" a="1"/>
  <c r="N45" i="5" s="1"/>
  <c r="O45" i="5" s="1"/>
  <c r="S46" i="5"/>
  <c r="R46" i="5"/>
  <c r="K46" i="5"/>
  <c r="Q47" i="5"/>
  <c r="Q48" i="5" l="1"/>
  <c r="R47" i="5"/>
  <c r="K47" i="5"/>
  <c r="S47" i="5"/>
  <c r="K48" i="5" l="1"/>
  <c r="R48" i="5"/>
  <c r="Q49" i="5"/>
  <c r="S48" i="5"/>
  <c r="R49" i="5" l="1"/>
  <c r="S49" i="5"/>
  <c r="K49" i="5"/>
  <c r="Q50" i="5"/>
  <c r="R50" i="5" l="1"/>
  <c r="Q51" i="5"/>
  <c r="S50" i="5"/>
  <c r="K50" i="5"/>
  <c r="R51" i="5" l="1"/>
  <c r="S51" i="5"/>
  <c r="K51" i="5"/>
  <c r="Q52" i="5" l="1"/>
  <c r="R52" i="5" l="1"/>
  <c r="S52" i="5"/>
  <c r="K52" i="5"/>
  <c r="Q53" i="5" l="1"/>
  <c r="K53" i="5" l="1"/>
  <c r="R53" i="5"/>
  <c r="S53" i="5"/>
  <c r="Q52" i="18" l="1"/>
  <c r="Q53" i="18" s="1"/>
  <c r="K53" i="18" l="1"/>
  <c r="R53" i="18"/>
  <c r="S53" i="18"/>
  <c r="R52" i="18"/>
  <c r="S52" i="18"/>
  <c r="K52" i="1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<sst xmlns="http://schemas.openxmlformats.org/spreadsheetml/2006/main" count="2607" uniqueCount="785">
  <si>
    <t>LT</t>
  </si>
  <si>
    <t>Field</t>
  </si>
  <si>
    <t>Type</t>
  </si>
  <si>
    <t>Len</t>
  </si>
  <si>
    <t>Min</t>
  </si>
  <si>
    <t>Max</t>
  </si>
  <si>
    <t>LC</t>
  </si>
  <si>
    <t>valid</t>
  </si>
  <si>
    <t>Description</t>
  </si>
  <si>
    <t>Data</t>
  </si>
  <si>
    <t>Context</t>
  </si>
  <si>
    <t>Lev</t>
  </si>
  <si>
    <t>listlu</t>
  </si>
  <si>
    <t>liMatch</t>
  </si>
  <si>
    <t>lisCount</t>
  </si>
  <si>
    <t>reflu</t>
  </si>
  <si>
    <t>Hierarchy</t>
  </si>
  <si>
    <t>pipe1</t>
  </si>
  <si>
    <t>pipe2</t>
  </si>
  <si>
    <t>ListT</t>
  </si>
  <si>
    <t>Comments</t>
  </si>
  <si>
    <t>H</t>
  </si>
  <si>
    <t>oOrders</t>
  </si>
  <si>
    <t>n</t>
  </si>
  <si>
    <t>Array of Outbound orders made up of header fields and array of order lines</t>
  </si>
  <si>
    <t>C</t>
  </si>
  <si>
    <t>Account/Site/StockPool</t>
  </si>
  <si>
    <t>Order Header fields that identify the ILG customer and direct the order to the correct warehouse and Stock pool</t>
  </si>
  <si>
    <t>E</t>
  </si>
  <si>
    <t>AccountID</t>
  </si>
  <si>
    <t>String</t>
  </si>
  <si>
    <t>CLIST</t>
  </si>
  <si>
    <t>ILG Customer Account</t>
  </si>
  <si>
    <t>CUST</t>
  </si>
  <si>
    <t>LocationID</t>
  </si>
  <si>
    <t xml:space="preserve">ILG Warehouse ID, </t>
  </si>
  <si>
    <t>NORTHAMPTON</t>
  </si>
  <si>
    <t>StockPool</t>
  </si>
  <si>
    <t xml:space="preserve">Stock pool, </t>
  </si>
  <si>
    <t>ECOM,WS,BULK</t>
  </si>
  <si>
    <t>CorrelationID</t>
  </si>
  <si>
    <t>INTERNAL FOR ILG USE DO NOT POPULATE</t>
  </si>
  <si>
    <t>9ed2b057-342f-4838-860b-4ac37fddf007</t>
  </si>
  <si>
    <t>EntityID</t>
  </si>
  <si>
    <t xml:space="preserve">ILG Use, Copy of field that uniquely identifies this record. E.g., OrderNumber </t>
  </si>
  <si>
    <t>SO238872</t>
  </si>
  <si>
    <t>Channel</t>
  </si>
  <si>
    <t>Order Source from the ILG Customer's perspective (may affect or</t>
  </si>
  <si>
    <t>ShopEU,ShopUK,NetSuite</t>
  </si>
  <si>
    <t>D365 Pools</t>
  </si>
  <si>
    <t>Brand</t>
  </si>
  <si>
    <t>Single ILG Customer can have multiple brands that might require specific operational treatment</t>
  </si>
  <si>
    <t>MyFirstBrand,OtherBrand</t>
  </si>
  <si>
    <t>Service and Class</t>
  </si>
  <si>
    <t xml:space="preserve">Key fields that define the type of order and how ILG process it </t>
  </si>
  <si>
    <t>OrdType</t>
  </si>
  <si>
    <t>LIST</t>
  </si>
  <si>
    <t>Type of Order, E.g. SO (Sales order)  TO (Outbound Transfer Order)</t>
  </si>
  <si>
    <t>SO,TOO</t>
  </si>
  <si>
    <t>SO - TO for Stores and Reps TBC</t>
  </si>
  <si>
    <t>ReqType</t>
  </si>
  <si>
    <t>Request Type:  NEW,UPD</t>
  </si>
  <si>
    <t>NEW,UPD</t>
  </si>
  <si>
    <t>NEW</t>
  </si>
  <si>
    <t>Class</t>
  </si>
  <si>
    <t>Class of Service Ecom,Wholesale,P,EVAS,WVAS,OTHER</t>
  </si>
  <si>
    <t>ECOM,WS,EVAS,WSVAS,PR,OTHER</t>
  </si>
  <si>
    <t>We would like to split B2B and D2C</t>
  </si>
  <si>
    <t>Service</t>
  </si>
  <si>
    <t>Shipping Service level Eg.   NextDay  Sameday, IntlExpress, IntlRoad</t>
  </si>
  <si>
    <t>NextDay,SameDay,UK48,IntExp,IntStd</t>
  </si>
  <si>
    <t>Service and Carrier are currently part Options to TBC with ILG
DPDL,RM1ST,RM2ND,RMI,RMLLN,RMPN,RMT24,RMT48,SDD</t>
  </si>
  <si>
    <t>Carrier</t>
  </si>
  <si>
    <t>Upper</t>
  </si>
  <si>
    <t>Specific Carrier; (usually blank)</t>
  </si>
  <si>
    <t>UPS,DHL</t>
  </si>
  <si>
    <t>of our Delivery Terms (see notes) Use TBC with ILG</t>
  </si>
  <si>
    <t>Priority</t>
  </si>
  <si>
    <t>Priority of order :  Norm (Default)  , High  Urg</t>
  </si>
  <si>
    <t>NORM,URGNT,HIGH</t>
  </si>
  <si>
    <t>RetailID</t>
  </si>
  <si>
    <t>Usually for BTB Customer to identify regular delivery customers that may require specific handling/Ops procedures</t>
  </si>
  <si>
    <t>ECOM,ASOS,JLEWIS</t>
  </si>
  <si>
    <t>DDP</t>
  </si>
  <si>
    <t>Integer</t>
  </si>
  <si>
    <t>Intl Deliveries only  Default 0 -duties paid local customs reponse, or 1 -Duty paid at point of booking (WHERE POSSIBLE)</t>
  </si>
  <si>
    <t>1</t>
  </si>
  <si>
    <t>Dates</t>
  </si>
  <si>
    <t>CreatedDate</t>
  </si>
  <si>
    <t>DateTime</t>
  </si>
  <si>
    <t>Order Creation Date (UTC Format)</t>
  </si>
  <si>
    <t>2021-12-14T13:29:59Z</t>
  </si>
  <si>
    <t>System generated (PM this is BAT side not the ILG generated date on import)</t>
  </si>
  <si>
    <t>DueOutDate</t>
  </si>
  <si>
    <t>Date</t>
  </si>
  <si>
    <t>Target Due out date</t>
  </si>
  <si>
    <t>2022-01-26</t>
  </si>
  <si>
    <t>Requested Ship Date</t>
  </si>
  <si>
    <t>ExpDelDate</t>
  </si>
  <si>
    <t>Expected Delivery Date</t>
  </si>
  <si>
    <t>Requested Receipt Date</t>
  </si>
  <si>
    <t>Order References</t>
  </si>
  <si>
    <t>Customer Order Number + additional Order References</t>
  </si>
  <si>
    <t>OrdNumber</t>
  </si>
  <si>
    <t>UPPER</t>
  </si>
  <si>
    <r>
      <t>Primary customer ordernumber (</t>
    </r>
    <r>
      <rPr>
        <i/>
        <sz val="9"/>
        <color theme="1"/>
        <rFont val="Calibri"/>
        <family val="2"/>
        <scheme val="minor"/>
      </rPr>
      <t>should</t>
    </r>
    <r>
      <rPr>
        <sz val="9"/>
        <color theme="1"/>
        <rFont val="Calibri"/>
        <family val="2"/>
        <scheme val="minor"/>
      </rPr>
      <t xml:space="preserve"> be unique from the customer's viewpoint)</t>
    </r>
  </si>
  <si>
    <t>Our D365 order ID (SO or TO)</t>
  </si>
  <si>
    <t>OrdRef1</t>
  </si>
  <si>
    <t>Additional fixed reference field</t>
  </si>
  <si>
    <t>XD33092</t>
  </si>
  <si>
    <t>Use for SO - Customer Requisition</t>
  </si>
  <si>
    <t>OrdRef2</t>
  </si>
  <si>
    <t>AOS68766878</t>
  </si>
  <si>
    <t>Use for TO - UPS Zone</t>
  </si>
  <si>
    <t>OrdRef3</t>
  </si>
  <si>
    <t>Additional fixed reference field (further in custom Fields)</t>
  </si>
  <si>
    <t>TESt</t>
  </si>
  <si>
    <t>Notes</t>
  </si>
  <si>
    <t>Optional order comment field,  Exception to normal order processing)</t>
  </si>
  <si>
    <t>Special order to VIP</t>
  </si>
  <si>
    <t>Summary</t>
  </si>
  <si>
    <t>Summary order header info (E.g., Order level summary of goods for customs)</t>
  </si>
  <si>
    <t>Ladies Outerwear, Childrens Toys</t>
  </si>
  <si>
    <t>Ref</t>
  </si>
  <si>
    <t>AddressGrp</t>
  </si>
  <si>
    <t>Array of Addresses:  SHIP is required for sales orders</t>
  </si>
  <si>
    <t>SHIP,BILL</t>
  </si>
  <si>
    <t>Financial Information</t>
  </si>
  <si>
    <t>SalesCurr</t>
  </si>
  <si>
    <t>UPPER ISO</t>
  </si>
  <si>
    <t>SalesCurrency</t>
  </si>
  <si>
    <t>USD</t>
  </si>
  <si>
    <t>SalesValue</t>
  </si>
  <si>
    <t>Decimal</t>
  </si>
  <si>
    <t>Sales Value (usually the sum of SalesLineTotals from order lines)</t>
  </si>
  <si>
    <t>OtherCurr</t>
  </si>
  <si>
    <t>Currency for Insurance and OTHER Values on the order (E.g., Customs Value)</t>
  </si>
  <si>
    <t>GBP</t>
  </si>
  <si>
    <t>InsValue</t>
  </si>
  <si>
    <t>Insurance Value</t>
  </si>
  <si>
    <t>OtherValue</t>
  </si>
  <si>
    <t xml:space="preserve">Order Value for Customs </t>
  </si>
  <si>
    <t>CustomFldGrp</t>
  </si>
  <si>
    <t>Array of Custom field Data at OrderHeader Level</t>
  </si>
  <si>
    <t>oOrderLines</t>
  </si>
  <si>
    <t>Array of order lines</t>
  </si>
  <si>
    <t>LineNumber</t>
  </si>
  <si>
    <r>
      <t xml:space="preserve">Linenumber from Sales order, this is </t>
    </r>
    <r>
      <rPr>
        <i/>
        <sz val="9"/>
        <color theme="1"/>
        <rFont val="Calibri"/>
        <family val="2"/>
        <scheme val="minor"/>
      </rPr>
      <t xml:space="preserve">Usually </t>
    </r>
    <r>
      <rPr>
        <sz val="9"/>
        <color theme="1"/>
        <rFont val="Calibri"/>
        <family val="2"/>
        <scheme val="minor"/>
      </rPr>
      <t>unique for the customer and needs to be if later editing is required via API</t>
    </r>
  </si>
  <si>
    <t>1,2,3   10,20,30</t>
  </si>
  <si>
    <t>D365 SO/TO line, gets sent back on shipment</t>
  </si>
  <si>
    <t>AltLineID</t>
  </si>
  <si>
    <t>Alternate/Secondary line - Sometimes required for BTB or EDI orders</t>
  </si>
  <si>
    <t>ProductID</t>
  </si>
  <si>
    <t>Product (SKU) must match Master data primary product in WMS</t>
  </si>
  <si>
    <t>NGLO2334</t>
  </si>
  <si>
    <t>D365 SKU</t>
  </si>
  <si>
    <t>AltProductID</t>
  </si>
  <si>
    <t>Secondary Product ID (As reference)</t>
  </si>
  <si>
    <t>JG668872</t>
  </si>
  <si>
    <t>UoM</t>
  </si>
  <si>
    <t>Mainly for wholesale could be Each, Inner, Outer, Pack</t>
  </si>
  <si>
    <t>EACH,INNER,OUTER</t>
  </si>
  <si>
    <t>Evolve sales/Transfers currently converted to Packs</t>
  </si>
  <si>
    <t>Qty</t>
  </si>
  <si>
    <t>Quantity</t>
  </si>
  <si>
    <t>D365 SO/TO Qty</t>
  </si>
  <si>
    <t>SalesUnitPrice</t>
  </si>
  <si>
    <t>Sales Line Unit Price (Multiplied by Qty to give SalesLinetotal - Values in SalesCurr)</t>
  </si>
  <si>
    <t>Divide the total net and sub vat if required</t>
  </si>
  <si>
    <t>OtherUnitPrice</t>
  </si>
  <si>
    <t xml:space="preserve">For customs E.g. where sales price is 0 but customs declaration &lt;&gt;0 </t>
  </si>
  <si>
    <t>SalesLineTotal</t>
  </si>
  <si>
    <t>Line Sales Value (Qty x SalesUnitPrice)</t>
  </si>
  <si>
    <t>The net line value in D365 exc VAT</t>
  </si>
  <si>
    <t>OtherLineTotal</t>
  </si>
  <si>
    <t>Other Line Value (Qty x OtherUnit Price)</t>
  </si>
  <si>
    <t>Array of Custom field Data at OrderLine Level</t>
  </si>
  <si>
    <t>!H</t>
  </si>
  <si>
    <t>Errors</t>
  </si>
  <si>
    <t>Array of errors</t>
  </si>
  <si>
    <t>Report Errors for GoodsOut,GoodsIn,Returns</t>
  </si>
  <si>
    <t>ILGRef</t>
  </si>
  <si>
    <t>ILG WMS Unique order Identifier (if known) Blnk if order not created in WMS</t>
  </si>
  <si>
    <t>NHT22980</t>
  </si>
  <si>
    <t>ILG Original Message ID (for traceability)</t>
  </si>
  <si>
    <t>Original Order Type</t>
  </si>
  <si>
    <t>WO,SO,TOO,PO,TOI,ASN,RETK,RETU,MD</t>
  </si>
  <si>
    <t>Originalrequest Type</t>
  </si>
  <si>
    <t>Status</t>
  </si>
  <si>
    <t>Overall Order Status</t>
  </si>
  <si>
    <t>HELD</t>
  </si>
  <si>
    <t>HeadErrs</t>
  </si>
  <si>
    <t>Array of Order Header Errors</t>
  </si>
  <si>
    <t>ErrType</t>
  </si>
  <si>
    <t>LEN,MAND,FTYPE,ENUM,STOCK</t>
  </si>
  <si>
    <t>ErrField</t>
  </si>
  <si>
    <t>ErrValue</t>
  </si>
  <si>
    <t>HHDHE77888379988</t>
  </si>
  <si>
    <t>OrderLines</t>
  </si>
  <si>
    <t>ILGLineNumber</t>
  </si>
  <si>
    <t>3</t>
  </si>
  <si>
    <t>LineErrs</t>
  </si>
  <si>
    <t>Array of Order Line Errors</t>
  </si>
  <si>
    <t>SKU</t>
  </si>
  <si>
    <t>HHK4348908JH843990DHHJ</t>
  </si>
  <si>
    <t>wOrders</t>
  </si>
  <si>
    <t>0002</t>
  </si>
  <si>
    <t>Works Order</t>
  </si>
  <si>
    <t>WO</t>
  </si>
  <si>
    <t>Class of works order (usually WO)</t>
  </si>
  <si>
    <t>ASOS,JLEWIS</t>
  </si>
  <si>
    <t>FinishedGoods</t>
  </si>
  <si>
    <t>Works Order Finished goods Line Number</t>
  </si>
  <si>
    <t>Finished Goods Product ID (Must exist as valid SKU)</t>
  </si>
  <si>
    <t>PR442343</t>
  </si>
  <si>
    <t>&gt;0</t>
  </si>
  <si>
    <t xml:space="preserve">QTY of finished goods required for works order </t>
  </si>
  <si>
    <t>3022</t>
  </si>
  <si>
    <t>Expected Delivery Date for this batch of finished good</t>
  </si>
  <si>
    <t>Life</t>
  </si>
  <si>
    <t>Life in days of finished good product</t>
  </si>
  <si>
    <t>50</t>
  </si>
  <si>
    <t>FGParts</t>
  </si>
  <si>
    <t>Products that make up the finished good</t>
  </si>
  <si>
    <t>Component Product ID (must NOT be a product of type KIT)</t>
  </si>
  <si>
    <t>DS89032</t>
  </si>
  <si>
    <t>Qty of PrdID for a single finished good (Will be multipled by Parent Qty)</t>
  </si>
  <si>
    <t>Array of Custom field Data within WorksOrder</t>
  </si>
  <si>
    <t>GOResp</t>
  </si>
  <si>
    <t>Request Type:  New,  Edit</t>
  </si>
  <si>
    <t>2022-02-25T00:16Z</t>
  </si>
  <si>
    <t>DATE</t>
  </si>
  <si>
    <t>OrderNumber</t>
  </si>
  <si>
    <t>Internal ILG Order Reference</t>
  </si>
  <si>
    <t>Dispatch section</t>
  </si>
  <si>
    <t>EVERYTHING BELOW HERE COMES FROM THE WMS RESPONSE</t>
  </si>
  <si>
    <t>Packages</t>
  </si>
  <si>
    <t xml:space="preserve">Number of packages in consignment </t>
  </si>
  <si>
    <t>TotalWeight</t>
  </si>
  <si>
    <t>In KG 2 dp</t>
  </si>
  <si>
    <t>12.44</t>
  </si>
  <si>
    <t>Stage</t>
  </si>
  <si>
    <t>DISP,PICK,PACK,CANC</t>
  </si>
  <si>
    <t>Carrier handling the package</t>
  </si>
  <si>
    <t>FEDEX,UPS,DHL</t>
  </si>
  <si>
    <t>Dispatched service (may NOT match original request)</t>
  </si>
  <si>
    <t>RM48</t>
  </si>
  <si>
    <t>TrackingNumber</t>
  </si>
  <si>
    <t>Carrier Tracking Number (ONLY Parent tracking number)</t>
  </si>
  <si>
    <t>GO8337928732</t>
  </si>
  <si>
    <t>ShipDate</t>
  </si>
  <si>
    <t>2022-02-07</t>
  </si>
  <si>
    <t>Array of Packages associated with original order</t>
  </si>
  <si>
    <t>SSCC</t>
  </si>
  <si>
    <t>Unique Package ID</t>
  </si>
  <si>
    <t>0338877133</t>
  </si>
  <si>
    <t>Weight</t>
  </si>
  <si>
    <t>NET?? Weight in Kg</t>
  </si>
  <si>
    <t>11.3</t>
  </si>
  <si>
    <t>Height</t>
  </si>
  <si>
    <t>Height in cm</t>
  </si>
  <si>
    <t>12.3</t>
  </si>
  <si>
    <t>Depth</t>
  </si>
  <si>
    <t>Depth in cm</t>
  </si>
  <si>
    <t>3.4</t>
  </si>
  <si>
    <t>Width</t>
  </si>
  <si>
    <t>Width in cm</t>
  </si>
  <si>
    <t>4.5</t>
  </si>
  <si>
    <t>PackagingCode</t>
  </si>
  <si>
    <t>Code describing physical packagine,  L52,L60,OS4</t>
  </si>
  <si>
    <t>L52</t>
  </si>
  <si>
    <t>Inter</t>
  </si>
  <si>
    <t>Total number of items within a consigment</t>
  </si>
  <si>
    <t>343</t>
  </si>
  <si>
    <t>GORespLines</t>
  </si>
  <si>
    <t>Array of responses.  One entry per Linenumber+SSCC+PrdID combination</t>
  </si>
  <si>
    <t>Linenumber from original outbound order</t>
  </si>
  <si>
    <t>From SOLineID in SNAP</t>
  </si>
  <si>
    <t>Alternate/Secondary line -</t>
  </si>
  <si>
    <t>For future use</t>
  </si>
  <si>
    <t>PrdID</t>
  </si>
  <si>
    <t>GO2333</t>
  </si>
  <si>
    <t>For Future use when linking Despatch line/Sku comb to Package</t>
  </si>
  <si>
    <t>Quantity Shipped within listed Package</t>
  </si>
  <si>
    <t>iOrders</t>
  </si>
  <si>
    <t>Array of orders each with a single OrderHeader and multiple Order Lines</t>
  </si>
  <si>
    <t>BAT</t>
  </si>
  <si>
    <t xml:space="preserve">ASN, PO can be split into multiple ASNs with separate expected dates </t>
  </si>
  <si>
    <t>PO,TOI,ASN</t>
  </si>
  <si>
    <t>Class of goodsin Service</t>
  </si>
  <si>
    <t>STD,EXP</t>
  </si>
  <si>
    <t>RecDate</t>
  </si>
  <si>
    <t>Received Date</t>
  </si>
  <si>
    <t>Original PO or ASN order ID</t>
  </si>
  <si>
    <t>Internal ILG ref relating to original order</t>
  </si>
  <si>
    <t>RT2338943</t>
  </si>
  <si>
    <t>3RD REF</t>
  </si>
  <si>
    <t>Notes to receiver</t>
  </si>
  <si>
    <t>Contains Sharps, Heavy load, Uneven load</t>
  </si>
  <si>
    <t>RESPONSES</t>
  </si>
  <si>
    <t>Stage of return/GI Respnse, Received/.Cancelled as per WMS</t>
  </si>
  <si>
    <t>Received,Cancelled</t>
  </si>
  <si>
    <t>Indicates the fulfillled status of the order to which this response relates</t>
  </si>
  <si>
    <t>Fulfilled,Unfulfilled</t>
  </si>
  <si>
    <t>ReturnType</t>
  </si>
  <si>
    <t xml:space="preserve">Only used for Return orders, 1=known 0=unknown </t>
  </si>
  <si>
    <t>Inbound tracking number if applicable</t>
  </si>
  <si>
    <t>73300982322</t>
  </si>
  <si>
    <t>Inbound carrier if applicable</t>
  </si>
  <si>
    <t>DHL</t>
  </si>
  <si>
    <t>Inbound custom fld grp if applicable</t>
  </si>
  <si>
    <t>iOrderLines</t>
  </si>
  <si>
    <r>
      <t xml:space="preserve">Linenumber from GoodsIns order, this is </t>
    </r>
    <r>
      <rPr>
        <i/>
        <sz val="9"/>
        <color theme="1"/>
        <rFont val="Calibri"/>
        <family val="2"/>
        <scheme val="minor"/>
      </rPr>
      <t xml:space="preserve">Usually </t>
    </r>
    <r>
      <rPr>
        <sz val="9"/>
        <color theme="1"/>
        <rFont val="Calibri"/>
        <family val="2"/>
        <scheme val="minor"/>
      </rPr>
      <t>unique for the customer and needs to be if later editing is required via API</t>
    </r>
  </si>
  <si>
    <t>1,2,3</t>
  </si>
  <si>
    <t>LineRecDate</t>
  </si>
  <si>
    <t>IF PO, expected delivery dates at line level, if ASN, this is blank as date is set at header level</t>
  </si>
  <si>
    <t>2022-02-11</t>
  </si>
  <si>
    <t>Received Qty</t>
  </si>
  <si>
    <t>12</t>
  </si>
  <si>
    <t>Usually Each, but could be Inner, Outer  (We will select Inners or outers as part of the warehouse process as appropriate)</t>
  </si>
  <si>
    <t>EA,INN,OUT</t>
  </si>
  <si>
    <t>EachQty</t>
  </si>
  <si>
    <t>Inbound EACH qty (differs from Qty if UoM&lt;&gt;"EACH"</t>
  </si>
  <si>
    <t>BatchID</t>
  </si>
  <si>
    <t>Mostly not known at point of order, but may be used if pre-known batches due to arrive</t>
  </si>
  <si>
    <t>BTE76F5F</t>
  </si>
  <si>
    <t>ProductionDate</t>
  </si>
  <si>
    <t>Used for products that have a shelf life to calculate expiry date</t>
  </si>
  <si>
    <t>PrdLife</t>
  </si>
  <si>
    <t>Life Days, For products that have a shelf life. This ovverides the default in master data.  Missing or 0 to use masterdata default</t>
  </si>
  <si>
    <t>45</t>
  </si>
  <si>
    <t>PrdStatus</t>
  </si>
  <si>
    <t>Product status on receipt (Usually Good for new Stock)</t>
  </si>
  <si>
    <t>FromWMS</t>
  </si>
  <si>
    <t>Reason</t>
  </si>
  <si>
    <t>Reason for return (translated to customer)</t>
  </si>
  <si>
    <t>Inbound custom fld grp if applicablref</t>
  </si>
  <si>
    <t>Inbound   if applicabl!h</t>
  </si>
  <si>
    <t>Inbound  if applicabl!h</t>
  </si>
  <si>
    <t>Expected Delivery Date (Used as default for all lines unless LineDelDate specified)</t>
  </si>
  <si>
    <t>Ponumber or ASN number</t>
  </si>
  <si>
    <t>LineDelDate</t>
  </si>
  <si>
    <t xml:space="preserve">Quantity </t>
  </si>
  <si>
    <t>GOOD,QA</t>
  </si>
  <si>
    <t>rOrders</t>
  </si>
  <si>
    <t>List</t>
  </si>
  <si>
    <t>RMA</t>
  </si>
  <si>
    <t>RETK,RETU</t>
  </si>
  <si>
    <t>Class of Returns Service  TO Be Confirmed</t>
  </si>
  <si>
    <t>STD</t>
  </si>
  <si>
    <t>Customer ID for returns order</t>
  </si>
  <si>
    <t xml:space="preserve">Internal ILG WMS generated OrderNumber for original GoodsOut Order </t>
  </si>
  <si>
    <t>BA200042</t>
  </si>
  <si>
    <t>Original Customer sales number</t>
  </si>
  <si>
    <t>XD330926</t>
  </si>
  <si>
    <t>OtherRef</t>
  </si>
  <si>
    <t>rOrderLines</t>
  </si>
  <si>
    <t>2022-02-17</t>
  </si>
  <si>
    <t xml:space="preserve">Expected Quantity </t>
  </si>
  <si>
    <t>4</t>
  </si>
  <si>
    <t xml:space="preserve">Units of Measure for returns </t>
  </si>
  <si>
    <t>Mostly not known upfront, so optional</t>
  </si>
  <si>
    <t>BT4480993</t>
  </si>
  <si>
    <t>For products that have a shelf life so expiry can be calculated</t>
  </si>
  <si>
    <t>Product Status on Import (Could be QA for Returns, usually GOOD for ASN)</t>
  </si>
  <si>
    <t>Products</t>
  </si>
  <si>
    <t>Key Identifiers</t>
  </si>
  <si>
    <t>Key fields to define the product and link to the correct account/stockpool</t>
  </si>
  <si>
    <t xml:space="preserve">ILG Use, Copy of field that uniquely identifies this record. E.g., PrdId </t>
  </si>
  <si>
    <t>GR442267</t>
  </si>
  <si>
    <t>Request type NEW, new product, UPD to update existing</t>
  </si>
  <si>
    <t xml:space="preserve">Product (SKU) must match Master data primary product in WMS </t>
  </si>
  <si>
    <t>PrdType</t>
  </si>
  <si>
    <t>Product type, Stock Item,KIT (Using KitGrp Ref) Consumable, Virtual Product</t>
  </si>
  <si>
    <t>STOCK,KIT,CONS,VIRT</t>
  </si>
  <si>
    <t xml:space="preserve">Product Status: Active, Suspended (Can't be picked for sales but can be for WH transfers),Discontinued (No transactions) </t>
  </si>
  <si>
    <t>ACTI,SUSP,DISC</t>
  </si>
  <si>
    <t>DiscDate</t>
  </si>
  <si>
    <t>Date at which Product is Discontinued (Set to a long time in the future by default)</t>
  </si>
  <si>
    <t>2050-12-31</t>
  </si>
  <si>
    <t>AliasGrp</t>
  </si>
  <si>
    <t>Alternative Product Identifiers (Optional must be agreed with ILG before use)</t>
  </si>
  <si>
    <t>Desc/Categories</t>
  </si>
  <si>
    <t>Description, Categorisation and key characteristics</t>
  </si>
  <si>
    <t>ShortDesc</t>
  </si>
  <si>
    <t>?</t>
  </si>
  <si>
    <t>Short Product description (appears on most SKU related screens in WNS)</t>
  </si>
  <si>
    <t>Faux Leather Clutch bag Green</t>
  </si>
  <si>
    <t>LongDesc</t>
  </si>
  <si>
    <t>Longer full product description</t>
  </si>
  <si>
    <t>Faux Leather Clutch bag Green (xxl 3 extra pockets)</t>
  </si>
  <si>
    <t>Category1</t>
  </si>
  <si>
    <t>Agreed list, populates drop down in target system</t>
  </si>
  <si>
    <t>Fashion</t>
  </si>
  <si>
    <t>Category2</t>
  </si>
  <si>
    <t>Product subcategory</t>
  </si>
  <si>
    <t>Wearables</t>
  </si>
  <si>
    <t>Category3</t>
  </si>
  <si>
    <t>Product Subcategory</t>
  </si>
  <si>
    <t>Handbags</t>
  </si>
  <si>
    <t>Commodity</t>
  </si>
  <si>
    <t>Req for PrdType=STOCK UK Export Commodity Code</t>
  </si>
  <si>
    <t>PrdCost</t>
  </si>
  <si>
    <t xml:space="preserve">Unit Cost Price - Default value if not incuded on SO LINE </t>
  </si>
  <si>
    <t>2.33</t>
  </si>
  <si>
    <t>COO</t>
  </si>
  <si>
    <t>Country of origin</t>
  </si>
  <si>
    <t>IT</t>
  </si>
  <si>
    <t>SerialPrd</t>
  </si>
  <si>
    <t>1 if items are imported with unqiue Serial Numbers when added to stock, Default 0</t>
  </si>
  <si>
    <t>BatchPrd</t>
  </si>
  <si>
    <t>1 if Items require a batch codes when added to stock, default 0 (1=yes)</t>
  </si>
  <si>
    <t>HazardPrd</t>
  </si>
  <si>
    <t>1 if product is 'Hazardous' and needs additional hazard classification on improt</t>
  </si>
  <si>
    <t>ExpirePrd</t>
  </si>
  <si>
    <t>1 if items within batch have an expiry date (Production date and Expiry days set on import)</t>
  </si>
  <si>
    <t>For products with ExpirePrd=1, this is the Default life in days used to Calc Expiry Date</t>
  </si>
  <si>
    <t>365</t>
  </si>
  <si>
    <t>pKitGrp</t>
  </si>
  <si>
    <t>Used only when PrdType=KIT, Used to identify products that are components of a kit</t>
  </si>
  <si>
    <t>pMetricGrp</t>
  </si>
  <si>
    <t>Product Metrics: an Each Entry is mandatory for all TANGIBLE Products</t>
  </si>
  <si>
    <t>EACH,INNER</t>
  </si>
  <si>
    <t>Pipe1</t>
  </si>
  <si>
    <t>Pipe2</t>
  </si>
  <si>
    <t>Comment</t>
  </si>
  <si>
    <t>Cfields</t>
  </si>
  <si>
    <t>FldType</t>
  </si>
  <si>
    <t>Class of Custom Field, Eg, GiftCard, Addorder dates,Booking slot info</t>
  </si>
  <si>
    <t>LGIFT,HGIFT,WSO</t>
  </si>
  <si>
    <t>Name of field</t>
  </si>
  <si>
    <t>GIFT1,GIFT2,BOOKSLOTREQ,</t>
  </si>
  <si>
    <t>FValue</t>
  </si>
  <si>
    <t>Data value - entered as string but validated as required by DataType</t>
  </si>
  <si>
    <t>Happy Christmas Peter</t>
  </si>
  <si>
    <t>Addresses</t>
  </si>
  <si>
    <t>AddType</t>
  </si>
  <si>
    <t>REQ  Address type:   Ship, Invoice, Supplier</t>
  </si>
  <si>
    <t>SHIP,SUPP,BILL</t>
  </si>
  <si>
    <t>Title</t>
  </si>
  <si>
    <t>Mr</t>
  </si>
  <si>
    <t>Firstname</t>
  </si>
  <si>
    <t>First Name Req for SHIP</t>
  </si>
  <si>
    <t>Julio</t>
  </si>
  <si>
    <t>Lastname</t>
  </si>
  <si>
    <t>Last Name Req for SHIP</t>
  </si>
  <si>
    <t>Stavros</t>
  </si>
  <si>
    <t>Mobile</t>
  </si>
  <si>
    <t>Mobile Number</t>
  </si>
  <si>
    <t>07323 323423</t>
  </si>
  <si>
    <t>Phone</t>
  </si>
  <si>
    <t>Primary Phone number (required for delivery)</t>
  </si>
  <si>
    <t>0181 333 2233</t>
  </si>
  <si>
    <t>Email</t>
  </si>
  <si>
    <t>Email Req for SHIP</t>
  </si>
  <si>
    <t>ME@mydomain.com</t>
  </si>
  <si>
    <t>Name</t>
  </si>
  <si>
    <t xml:space="preserve">Company or Fullname of recipient </t>
  </si>
  <si>
    <t>The Clothing Company</t>
  </si>
  <si>
    <t>Add1</t>
  </si>
  <si>
    <t xml:space="preserve">Address Line 1 Required (RM has a limit of 35, DPD limit of 30) </t>
  </si>
  <si>
    <t>13 Hargreaves Ave</t>
  </si>
  <si>
    <t>Add2</t>
  </si>
  <si>
    <t>Address Line2  Usually included but not required</t>
  </si>
  <si>
    <t>BigTown</t>
  </si>
  <si>
    <t>Add3</t>
  </si>
  <si>
    <t>Address Line 3</t>
  </si>
  <si>
    <t>Nr Waitrose</t>
  </si>
  <si>
    <t>City</t>
  </si>
  <si>
    <t>City/Town (Required)</t>
  </si>
  <si>
    <t>Crawley</t>
  </si>
  <si>
    <t>State</t>
  </si>
  <si>
    <t>State/County (Should be 2 letter state code for USA address)</t>
  </si>
  <si>
    <t>West Sussex</t>
  </si>
  <si>
    <t>Postcode</t>
  </si>
  <si>
    <t>Postcode/Zip code</t>
  </si>
  <si>
    <t>RH10 1AA</t>
  </si>
  <si>
    <t>CountryCode</t>
  </si>
  <si>
    <t>2 character ISO County code (Required)</t>
  </si>
  <si>
    <t>GB</t>
  </si>
  <si>
    <t>Country</t>
  </si>
  <si>
    <t>Country name in Full (Not required but usually included)</t>
  </si>
  <si>
    <t>United Kingdom</t>
  </si>
  <si>
    <t>PMetricGrp</t>
  </si>
  <si>
    <t>Pmetrics</t>
  </si>
  <si>
    <t>Product Metrics, Inner, Outer Quantites and Dimensions</t>
  </si>
  <si>
    <t>Unit of Measure</t>
  </si>
  <si>
    <t>SubQty</t>
  </si>
  <si>
    <t>Subtype Qty with UoM (Outer contains 6 inners, Inner contains 10 Each)</t>
  </si>
  <si>
    <t>1,6,</t>
  </si>
  <si>
    <t>SubUoM</t>
  </si>
  <si>
    <t>Sub Unit of Measure</t>
  </si>
  <si>
    <t>Item quantity within the UoM(E,g, total items in an 'Outer')</t>
  </si>
  <si>
    <t>Barcode</t>
  </si>
  <si>
    <t>Barcode mandatory for EACH for TANGIBLE Products</t>
  </si>
  <si>
    <t>0078866783</t>
  </si>
  <si>
    <t>12.2</t>
  </si>
  <si>
    <t>Gweight</t>
  </si>
  <si>
    <t>Gross weight in grammes</t>
  </si>
  <si>
    <t>366</t>
  </si>
  <si>
    <t>Nweight</t>
  </si>
  <si>
    <t>Net weight in grammes</t>
  </si>
  <si>
    <t>353</t>
  </si>
  <si>
    <t>PMetrics</t>
  </si>
  <si>
    <t>Aliases</t>
  </si>
  <si>
    <t>AliasType</t>
  </si>
  <si>
    <t xml:space="preserve">Alias give alternate names for products, this defines the Type of alias, </t>
  </si>
  <si>
    <t>PRDEX</t>
  </si>
  <si>
    <t>Fvalue</t>
  </si>
  <si>
    <t xml:space="preserve">The Alias value (String 50) </t>
  </si>
  <si>
    <t>GC00394422</t>
  </si>
  <si>
    <t>PKitGrp</t>
  </si>
  <si>
    <t>KitPrds</t>
  </si>
  <si>
    <t xml:space="preserve">KIT entries override ant </t>
  </si>
  <si>
    <t>Products must exist and NOT be of type KIT.</t>
  </si>
  <si>
    <t>Qty of PrdID within parent kit</t>
  </si>
  <si>
    <t xml:space="preserve">Expected values for LIST and CLIST fields.   'Generic' is </t>
  </si>
  <si>
    <t>Generic</t>
  </si>
  <si>
    <t>CustomerSpecific</t>
  </si>
  <si>
    <t>STAT</t>
  </si>
  <si>
    <t>#</t>
  </si>
  <si>
    <t>ind</t>
  </si>
  <si>
    <t>RetData</t>
  </si>
  <si>
    <t>All</t>
  </si>
  <si>
    <t>OK</t>
  </si>
  <si>
    <t>AddTYpe</t>
  </si>
  <si>
    <t>Address type, SHIP is required for sales/transfer orders, others are optional</t>
  </si>
  <si>
    <t>TBC</t>
  </si>
  <si>
    <t>10M,Evolve,POS,Trade,Velo,VIP,VM,Vuse</t>
  </si>
  <si>
    <t>Types of Error</t>
  </si>
  <si>
    <t>New, or Update</t>
  </si>
  <si>
    <t>Units of Measure for product Metrics  (Child)</t>
  </si>
  <si>
    <t>Units of Measure for product Metrics (Parent)</t>
  </si>
  <si>
    <t>TOO T-Out, TOI T-IN, ReturnKnown, ReturnUnknown,MD MasterData</t>
  </si>
  <si>
    <t>GoResp</t>
  </si>
  <si>
    <t>NextDay,SameDay,UK48</t>
  </si>
  <si>
    <t>Product status for goods in Stock, Usually Good but could have other</t>
  </si>
  <si>
    <t>iOrderLines|Cfields</t>
  </si>
  <si>
    <t>Receipt class,  Standard or Express</t>
  </si>
  <si>
    <t>Inbound Order type, Purchase, Transfer In, ASN</t>
  </si>
  <si>
    <t>iOrders|Cfields</t>
  </si>
  <si>
    <t>oOrderLines|Cfields</t>
  </si>
  <si>
    <t>ENGR,LGIFT</t>
  </si>
  <si>
    <t>Outbound order Line level custom field types</t>
  </si>
  <si>
    <t>oOrders|Cfields</t>
  </si>
  <si>
    <t>SPPCK,</t>
  </si>
  <si>
    <t>Outbound order Header level custom field types</t>
  </si>
  <si>
    <t>Active - Live &amp; Pickable
Suspended - Stock can be added but not picked for sales orders
DISC - Discontinued  No stock movements allowed
SWOS - Suspend when out of stock??</t>
  </si>
  <si>
    <t xml:space="preserve">STOCK - Tangible Stock Item
KIT - MasterSku/KIT - a collection of other physcial SKUs (KIT can’t contain other KITS)
CONS - Consumable product for which stock levels are NOT tracked?
VIRT - Virtual/Intangible Product E.G., Gift message, (no Metrics)
SERV - Service/Operation (Usually an order CustomFld rather than a SKU </t>
  </si>
  <si>
    <t>Product Status for Returns, Usually QA but could vary</t>
  </si>
  <si>
    <t>rOrderLines|Cfields</t>
  </si>
  <si>
    <t>Return Lines Custom Fields</t>
  </si>
  <si>
    <t xml:space="preserve">Return order type </t>
  </si>
  <si>
    <t>rOrders|Cfields</t>
  </si>
  <si>
    <t>Returns Custom Fields</t>
  </si>
  <si>
    <t>wOrders|Cfields</t>
  </si>
  <si>
    <t>WorksOrder Custom Fields</t>
  </si>
  <si>
    <t>GoodsOutResp V1.2 Field(Generic).JSON</t>
  </si>
  <si>
    <t>{"GOResp": [</t>
  </si>
  <si>
    <t xml:space="preserve">   {</t>
  </si>
  <si>
    <t xml:space="preserve">      "AccountID": "String(15) Req=1",</t>
  </si>
  <si>
    <t xml:space="preserve">      "LocationID": "String(15) Req=1",</t>
  </si>
  <si>
    <t xml:space="preserve">      "StockPool": "String(15) Req=1",</t>
  </si>
  <si>
    <t xml:space="preserve">      "Channel": "String(20) Req=0",</t>
  </si>
  <si>
    <t xml:space="preserve">      "Brand": "String(20) Req=0",</t>
  </si>
  <si>
    <t xml:space="preserve">      "CorrelationID": "String(250) Req=0",</t>
  </si>
  <si>
    <t xml:space="preserve">      "EntityID": "String(50) Req=0",</t>
  </si>
  <si>
    <t xml:space="preserve">      "OrdType": "String(5) Req=1",</t>
  </si>
  <si>
    <t xml:space="preserve">      "ReqType": "String(5) Req=1",</t>
  </si>
  <si>
    <t xml:space="preserve">      "Class": "String(10) Req=1",</t>
  </si>
  <si>
    <t xml:space="preserve">      "Service": "String(10) Req=1",</t>
  </si>
  <si>
    <t xml:space="preserve">      "Carrier": "String(10) Req=0",</t>
  </si>
  <si>
    <t xml:space="preserve">      "Priority": "String(10) Req=0",</t>
  </si>
  <si>
    <t xml:space="preserve">      "RetailID": "String(15) Req=0",</t>
  </si>
  <si>
    <t xml:space="preserve">      "CreatedDate": "DateTime Req=0",</t>
  </si>
  <si>
    <t xml:space="preserve">      "DueOutDate": "DATE Req=0",</t>
  </si>
  <si>
    <t xml:space="preserve">      "ExpDelDate": "DATE Req=0",</t>
  </si>
  <si>
    <t xml:space="preserve">      "OrderNumber": "String(20) Req=1",</t>
  </si>
  <si>
    <t xml:space="preserve">      "ILGRef": "String(20) Req=1",</t>
  </si>
  <si>
    <t xml:space="preserve">      "OrdRef1": "String(35) Req=1",</t>
  </si>
  <si>
    <t xml:space="preserve">      "OrdRef2": "String(35) Req=0",</t>
  </si>
  <si>
    <t xml:space="preserve">      "OrdRef3": "String(35) Req=0",</t>
  </si>
  <si>
    <t xml:space="preserve">      "Packages": "Integer Req=0",</t>
  </si>
  <si>
    <t xml:space="preserve">      "TotalWeight": "Decimal Req=0",</t>
  </si>
  <si>
    <t xml:space="preserve">      "Stage": "String(5) Req=0",</t>
  </si>
  <si>
    <t xml:space="preserve">      "Carrier": "String(20) Req=0",</t>
  </si>
  <si>
    <t xml:space="preserve">      "Service": "String(10) Req=0",</t>
  </si>
  <si>
    <t xml:space="preserve">      "TrackingNumber": "String(50) Req=0",</t>
  </si>
  <si>
    <t xml:space="preserve">      "ShipDate": "DATE Req=0",</t>
  </si>
  <si>
    <t xml:space="preserve">      "Packages": [</t>
  </si>
  <si>
    <t xml:space="preserve">         {</t>
  </si>
  <si>
    <t xml:space="preserve">            "SSCC": "String(20) Req=1",</t>
  </si>
  <si>
    <t xml:space="preserve">            "Weight": "Decimal Req=1",</t>
  </si>
  <si>
    <t xml:space="preserve">            "Height": "Decimal Req=1",</t>
  </si>
  <si>
    <t xml:space="preserve">            "Depth": "Decimal Req=1",</t>
  </si>
  <si>
    <t xml:space="preserve">            "Width": "Decimal Req=1",</t>
  </si>
  <si>
    <t xml:space="preserve">            "PackagingCode": "String(5) Req=0",</t>
  </si>
  <si>
    <t xml:space="preserve">            "Qty": "Inter Req=0"</t>
  </si>
  <si>
    <t xml:space="preserve">         }</t>
  </si>
  <si>
    <t xml:space="preserve">      ],</t>
  </si>
  <si>
    <t xml:space="preserve">      "GORespLines": [</t>
  </si>
  <si>
    <t xml:space="preserve">            "LineNumber": "Integer Req=1",</t>
  </si>
  <si>
    <t xml:space="preserve">            "AltLineID": "Integer Req=0",</t>
  </si>
  <si>
    <t xml:space="preserve">            "PrdID": "String() Req=1",</t>
  </si>
  <si>
    <t xml:space="preserve">            "SSCC": "String(30) Req=0",</t>
  </si>
  <si>
    <t xml:space="preserve">            "Qty": "Integer Req=1"</t>
  </si>
  <si>
    <t xml:space="preserve">      ]</t>
  </si>
  <si>
    <t xml:space="preserve">   }</t>
  </si>
  <si>
    <t>]</t>
  </si>
  <si>
    <t>}</t>
  </si>
  <si>
    <t>Parameter</t>
  </si>
  <si>
    <t>Value</t>
  </si>
  <si>
    <t>XmlGap</t>
  </si>
  <si>
    <t>Head1</t>
  </si>
  <si>
    <t>Head2</t>
  </si>
  <si>
    <t>Fields</t>
  </si>
  <si>
    <t>FirstField</t>
  </si>
  <si>
    <t>OrderLine</t>
  </si>
  <si>
    <t>Head/Ref</t>
  </si>
  <si>
    <t>custom</t>
  </si>
  <si>
    <t>RefE</t>
  </si>
  <si>
    <t>Cdata</t>
  </si>
  <si>
    <t>Cfld</t>
  </si>
  <si>
    <t>Pos</t>
  </si>
  <si>
    <t>orderheader</t>
  </si>
  <si>
    <t>SectionHead</t>
  </si>
  <si>
    <t>Field#</t>
  </si>
  <si>
    <t>Header</t>
  </si>
  <si>
    <t>Req</t>
  </si>
  <si>
    <t>LU</t>
  </si>
  <si>
    <t>F1</t>
  </si>
  <si>
    <t>F2</t>
  </si>
  <si>
    <t>F4</t>
  </si>
  <si>
    <t>SOHEADER</t>
  </si>
  <si>
    <t>CUSTOMFldGrp</t>
  </si>
  <si>
    <t>WSO</t>
  </si>
  <si>
    <t>ReqBookingSlot</t>
  </si>
  <si>
    <t>Y</t>
  </si>
  <si>
    <t>ENG</t>
  </si>
  <si>
    <t>EngraveStyle1</t>
  </si>
  <si>
    <t>This is a sample engraving message</t>
  </si>
  <si>
    <t>SOLINE</t>
  </si>
  <si>
    <t>LGRP</t>
  </si>
  <si>
    <t>WRAP</t>
  </si>
  <si>
    <t>GIFT</t>
  </si>
  <si>
    <t>GIFTCARD1</t>
  </si>
  <si>
    <t xml:space="preserve">Happy Christmas Peter </t>
  </si>
  <si>
    <t>ValueDataTypeValidation</t>
  </si>
  <si>
    <t>FldTypeDescription</t>
  </si>
  <si>
    <t>NAMES</t>
  </si>
  <si>
    <t>NameDescription</t>
  </si>
  <si>
    <t>ValueDescription</t>
  </si>
  <si>
    <t>oOrderHeader</t>
  </si>
  <si>
    <t>String(200)</t>
  </si>
  <si>
    <t>Gift cards, used at OrderHeader and Order Line level</t>
  </si>
  <si>
    <t>GIFT1,GIFT2</t>
  </si>
  <si>
    <t>Gift card type</t>
  </si>
  <si>
    <t xml:space="preserve">Message </t>
  </si>
  <si>
    <t>VAS</t>
  </si>
  <si>
    <t>Value Added service (order header Level)</t>
  </si>
  <si>
    <t>ENGR,PREMPACK</t>
  </si>
  <si>
    <t>Type of service</t>
  </si>
  <si>
    <t>Additional info (E.g., engraving message, package type)</t>
  </si>
  <si>
    <t>oOrderLine</t>
  </si>
  <si>
    <t>Value Added service (order Line Level)</t>
  </si>
  <si>
    <t>ENGR</t>
  </si>
  <si>
    <t>Allows related order lines to be grouped together to support specific sub-order operational processing</t>
  </si>
  <si>
    <t>{Various}</t>
  </si>
  <si>
    <t>Line Group Identifier</t>
  </si>
  <si>
    <t>Line group number 1,2,3…</t>
  </si>
  <si>
    <t>GoodsOut Stru 20220223.xml</t>
  </si>
  <si>
    <t>MinMax</t>
  </si>
  <si>
    <t>&lt;oOrders&gt;{ARRAY 1,n}</t>
  </si>
  <si>
    <t>Called From</t>
  </si>
  <si>
    <t>MasterData</t>
  </si>
  <si>
    <t xml:space="preserve">   &lt;oOrderHeader&gt;</t>
  </si>
  <si>
    <t xml:space="preserve">      &lt;AccountID&gt;String(15) Req=1&lt;/AccountID&gt;</t>
  </si>
  <si>
    <t>-Account/Site/StockPool</t>
  </si>
  <si>
    <t xml:space="preserve">      &lt;LocationID&gt;String(15) Req=1&lt;/LocationID&gt;</t>
  </si>
  <si>
    <t xml:space="preserve">      &lt;StockPool&gt;String(15) Req=1&lt;/StockPool&gt;</t>
  </si>
  <si>
    <t xml:space="preserve">      &lt;CorrelationID&gt;String(250) Req=0&lt;/CorrelationID&gt;</t>
  </si>
  <si>
    <t xml:space="preserve">      &lt;EntityID&gt;String(50) Req=0&lt;/EntityID&gt;</t>
  </si>
  <si>
    <t xml:space="preserve">      &lt;Channel&gt;String(20) Req=0&lt;/Channel&gt;</t>
  </si>
  <si>
    <t xml:space="preserve">      &lt;Brand&gt;String(20) Req=0&lt;/Brand&gt;</t>
  </si>
  <si>
    <t xml:space="preserve">      &lt;OrdType&gt;String(5) Req=1&lt;/OrdType&gt;</t>
  </si>
  <si>
    <t>-Service and Class</t>
  </si>
  <si>
    <t xml:space="preserve">      &lt;ReqType&gt;String(5) Req=1&lt;/ReqType&gt;</t>
  </si>
  <si>
    <t xml:space="preserve">      &lt;Class&gt;String(10) Req=1&lt;/Class&gt;</t>
  </si>
  <si>
    <t xml:space="preserve">      &lt;Service&gt;String(10) Req=1&lt;/Service&gt;</t>
  </si>
  <si>
    <t xml:space="preserve">      &lt;Carrier&gt;String(10) Req=0&lt;/Carrier&gt;</t>
  </si>
  <si>
    <t xml:space="preserve">      &lt;Priority&gt;String(10) Req=0&lt;/Priority&gt;</t>
  </si>
  <si>
    <t xml:space="preserve">      &lt;RetailID&gt;String(15) Req=0&lt;/RetailID&gt;</t>
  </si>
  <si>
    <t xml:space="preserve">      &lt;DDP&gt;Integer Req=0&lt;/DDP&gt;</t>
  </si>
  <si>
    <t xml:space="preserve">      &lt;CreatedDate&gt;DateTime Req=0&lt;/CreatedDate&gt;</t>
  </si>
  <si>
    <t>-Dates</t>
  </si>
  <si>
    <t xml:space="preserve">      &lt;DueOutDate&gt;Date Req=0&lt;/DueOutDate&gt;</t>
  </si>
  <si>
    <t xml:space="preserve">      &lt;ExpDelDate&gt;DATE Req=0&lt;/ExpDelDate&gt;</t>
  </si>
  <si>
    <t xml:space="preserve">      &lt;OrdNumber&gt;String(20) Req=1&lt;/OrdNumber&gt;</t>
  </si>
  <si>
    <t>-Order References</t>
  </si>
  <si>
    <t xml:space="preserve">      &lt;OrdRef1&gt;String(35) Req=1&lt;/OrdRef1&gt;</t>
  </si>
  <si>
    <t xml:space="preserve">      &lt;OrdRef2&gt;String(35) Req=0&lt;/OrdRef2&gt;</t>
  </si>
  <si>
    <t xml:space="preserve">      &lt;OrdRef3&gt;String(35) Req=0&lt;/OrdRef3&gt;</t>
  </si>
  <si>
    <t xml:space="preserve">      &lt;Notes&gt;String(250) Req=0&lt;/Notes&gt;</t>
  </si>
  <si>
    <t xml:space="preserve">      &lt;Summary&gt;String(200) Req=0&lt;/Summary&gt;</t>
  </si>
  <si>
    <t xml:space="preserve">      &lt;Addresses&gt;{ARRAY 1,n}</t>
  </si>
  <si>
    <t>REF: oOrderHeader|AddressGrp</t>
  </si>
  <si>
    <t>1,n</t>
  </si>
  <si>
    <t xml:space="preserve">         &lt;Address&gt;</t>
  </si>
  <si>
    <t xml:space="preserve">            &lt;AddType&gt;String(5) Req=1&lt;/AddType&gt;</t>
  </si>
  <si>
    <t xml:space="preserve">            &lt;Title&gt;String(10) Req=0&lt;/Title&gt;</t>
  </si>
  <si>
    <t xml:space="preserve">            &lt;Firstname&gt;String(30) Req=?&lt;/Firstname&gt;</t>
  </si>
  <si>
    <t xml:space="preserve">            &lt;Lastname&gt;String(30) Req=?&lt;/Lastname&gt;</t>
  </si>
  <si>
    <t xml:space="preserve">            &lt;Mobile&gt;String(20) Req=0&lt;/Mobile&gt;</t>
  </si>
  <si>
    <t xml:space="preserve">            &lt;Phone&gt;String(20) Req=?&lt;/Phone&gt;</t>
  </si>
  <si>
    <t xml:space="preserve">            &lt;Email&gt;String(50) Req=?&lt;/Email&gt;</t>
  </si>
  <si>
    <t xml:space="preserve">            &lt;Name&gt;String(50) Req=1&lt;/Name&gt;</t>
  </si>
  <si>
    <t xml:space="preserve">            &lt;Add1&gt;String(50) Req=1&lt;/Add1&gt;</t>
  </si>
  <si>
    <t xml:space="preserve">            &lt;Add2&gt;String(50) Req=0&lt;/Add2&gt;</t>
  </si>
  <si>
    <t xml:space="preserve">            &lt;Add3&gt;String(50) Req=0&lt;/Add3&gt;</t>
  </si>
  <si>
    <t xml:space="preserve">            &lt;City&gt;String(30) Req=1&lt;/City&gt;</t>
  </si>
  <si>
    <t xml:space="preserve">            &lt;State&gt;String(30) Req=0&lt;/State&gt;</t>
  </si>
  <si>
    <t xml:space="preserve">            &lt;Postcode&gt;String(20) Req=0&lt;/Postcode&gt;</t>
  </si>
  <si>
    <t xml:space="preserve">            &lt;CountryCode&gt;String(2) Req=1&lt;/CountryCode&gt;</t>
  </si>
  <si>
    <t xml:space="preserve">            &lt;Country&gt;String(50) Req=0&lt;/Country&gt;</t>
  </si>
  <si>
    <t xml:space="preserve">         &lt;/Address&gt;</t>
  </si>
  <si>
    <t xml:space="preserve">      &lt;/Addresses&gt;</t>
  </si>
  <si>
    <t>!REF: oOrderHeader|AddressGrp</t>
  </si>
  <si>
    <t xml:space="preserve">      &lt;SalesCurr&gt;String(3) Req=1&lt;/SalesCurr&gt;</t>
  </si>
  <si>
    <t>-Financial Information</t>
  </si>
  <si>
    <t xml:space="preserve">      &lt;SalesValue&gt;Decimal Req=0&lt;/SalesValue&gt;</t>
  </si>
  <si>
    <t xml:space="preserve">      &lt;OtherCurr&gt;String(3) Req=0&lt;/OtherCurr&gt;</t>
  </si>
  <si>
    <t xml:space="preserve">      &lt;InsValue&gt;Decimal Req=0&lt;/InsValue&gt;</t>
  </si>
  <si>
    <t xml:space="preserve">      &lt;OtherValue&gt;Decimal Req=0&lt;/OtherValue&gt;</t>
  </si>
  <si>
    <t xml:space="preserve">      &lt;Cfields&gt;{ARRAY 0,n}</t>
  </si>
  <si>
    <t>REF: oOrderHeader|CustomFldGrp</t>
  </si>
  <si>
    <t>ARRAY 0,n</t>
  </si>
  <si>
    <t xml:space="preserve">         &lt;Cfield&gt;</t>
  </si>
  <si>
    <t xml:space="preserve">            &lt;FldType&gt;String(5) Req=1&lt;/FldType&gt;</t>
  </si>
  <si>
    <t xml:space="preserve">            &lt;Field&gt;String(15) Req=1&lt;/Field&gt;</t>
  </si>
  <si>
    <t xml:space="preserve">            &lt;FValue&gt;String(200) Req=1&lt;/FValue&gt;</t>
  </si>
  <si>
    <t xml:space="preserve">         &lt;/Cfield&gt;</t>
  </si>
  <si>
    <t xml:space="preserve">      &lt;/Cfields&gt;</t>
  </si>
  <si>
    <t>!REF: oOrderHeader|CustomFldGrp</t>
  </si>
  <si>
    <t xml:space="preserve">      &lt;oOrderLines&gt;{ARRAY 1,n}</t>
  </si>
  <si>
    <t xml:space="preserve">         &lt;oOrderLine&gt;</t>
  </si>
  <si>
    <t xml:space="preserve">            &lt;LineNumber&gt;Integer Req=1&lt;/LineNumber&gt;</t>
  </si>
  <si>
    <t xml:space="preserve">            &lt;AltLineID&gt;Integer Req=0&lt;/AltLineID&gt;</t>
  </si>
  <si>
    <t xml:space="preserve">            &lt;ProductID&gt;String(30) Req=1&lt;/ProductID&gt;</t>
  </si>
  <si>
    <t xml:space="preserve">            &lt;AltProductID&gt;String(30) Req=0&lt;/AltProductID&gt;</t>
  </si>
  <si>
    <t xml:space="preserve">            &lt;UoM&gt;String(5) Req=1&lt;/UoM&gt;</t>
  </si>
  <si>
    <t xml:space="preserve">            &lt;Qty&gt;Integer Req=1&lt;/Qty&gt;</t>
  </si>
  <si>
    <t xml:space="preserve">            &lt;SalesUnitPrice&gt;Decimal Req=1&lt;/SalesUnitPrice&gt;</t>
  </si>
  <si>
    <t xml:space="preserve">            &lt;OtherUnitPrice&gt;Decimal Req=0&lt;/OtherUnitPrice&gt;</t>
  </si>
  <si>
    <t xml:space="preserve">            &lt;SalesLineTotal&gt;Decimal Req=1&lt;/SalesLineTotal&gt;</t>
  </si>
  <si>
    <t xml:space="preserve">            &lt;OtherLineTotal&gt;Decimal Req=0&lt;/OtherLineTotal&gt;</t>
  </si>
  <si>
    <t xml:space="preserve">            &lt;Cfields&gt;{ARRAY 0,n}</t>
  </si>
  <si>
    <t>REF: oOrderLine|CustomFldGrp</t>
  </si>
  <si>
    <t>0,n</t>
  </si>
  <si>
    <t xml:space="preserve">               &lt;Cfield&gt;</t>
  </si>
  <si>
    <t xml:space="preserve">                  &lt;FldType&gt;String(5) Req=1&lt;/FldType&gt;</t>
  </si>
  <si>
    <t xml:space="preserve">                  &lt;Field&gt;String(15) Req=1&lt;/Field&gt;</t>
  </si>
  <si>
    <t xml:space="preserve">                  &lt;FValue&gt;String(200) Req=1&lt;/FValue&gt;</t>
  </si>
  <si>
    <t xml:space="preserve">               &lt;/Cfield&gt;</t>
  </si>
  <si>
    <t xml:space="preserve">            &lt;/Cfields&gt;</t>
  </si>
  <si>
    <t>!REF: oOrderLine|CustomFldGrp</t>
  </si>
  <si>
    <t xml:space="preserve">         &lt;/oOrderLine&gt;</t>
  </si>
  <si>
    <t xml:space="preserve">      &lt;/oOrderLines&gt;</t>
  </si>
  <si>
    <t xml:space="preserve">   &lt;/oOrderHeader&gt;</t>
  </si>
  <si>
    <t>&lt;/oOrders&gt;</t>
  </si>
  <si>
    <t>MasterData V1.2</t>
  </si>
  <si>
    <t/>
  </si>
  <si>
    <t>Products|Aliases</t>
  </si>
  <si>
    <t>Products|KitPrds</t>
  </si>
  <si>
    <t>Products|Pmetrics</t>
  </si>
  <si>
    <t>Current Version</t>
  </si>
  <si>
    <t>Version</t>
  </si>
  <si>
    <t>Initial Version.  
VALID:  GoodsOut,WorksOrder,GoodsIn,Returns,MasterData
WIP: Errors, GoodsOutResponse</t>
  </si>
  <si>
    <t>Add 'Life' to finished goodsin works order, as newly created SKU may have a specific life</t>
  </si>
  <si>
    <t>GoodsIn/Returns typo LIneDelDate should be LineDelDate, ExpDelDate should be mandatory
Added Reason to Returns
Added Qty on GoodsOutResp|Packages and made SSCC optional at line level (Consignments summarise SKUs in SNAP so line level despatch correlation is not possible, GoodsOut RetailID is Mandatory</t>
  </si>
  <si>
    <t>Tab Colour</t>
  </si>
  <si>
    <t>Cust -&gt; ILG Interface</t>
  </si>
  <si>
    <t>Data to populate ILG -&gt; Cust response</t>
  </si>
  <si>
    <t>Reference entries - groups of commonly used fields</t>
  </si>
  <si>
    <t xml:space="preserve">Error/Warning response model </t>
  </si>
  <si>
    <t>Options for 'LIST' or 'CLIST' fields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</si>
</sst>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 mmm\ yy"/>
  </numFmts>
  <fonts count="10">
    <font>
      <sz val="11"/>
      <color theme="1"/>
      <name val="Calibri"/>
      <family val="2"/>
      <scheme val="minor"/>
    </font>
    <font>
      <sz val="11"/>
      <color theme="0"/>
      <name val="Calibri"/>
      <family val="2"/>
      <scheme val="minor"/>
    </font>
    <font>
      <sz val="9"/>
      <color theme="1"/>
      <name val="Calibri"/>
      <family val="2"/>
      <scheme val="minor"/>
    </font>
    <font>
      <sz val="10"/>
      <color theme="1"/>
      <name val="Calibri"/>
      <family val="2"/>
      <scheme val="minor"/>
    </font>
    <font>
      <i/>
      <sz val="9"/>
      <color theme="1"/>
      <name val="Calibri"/>
      <family val="2"/>
      <scheme val="minor"/>
    </font>
    <font>
      <b/>
      <sz val="11"/>
      <color theme="0"/>
      <name val="Calibri"/>
      <family val="2"/>
      <scheme val="minor"/>
    </font>
    <font>
      <b/>
      <sz val="16"/>
      <color theme="0"/>
      <name val="Calibri"/>
      <family val="2"/>
      <scheme val="minor"/>
    </font>
    <font>
      <b/>
      <sz val="12"/>
      <color rgb="FFFF0000"/>
      <name val="Calibri"/>
      <family val="2"/>
      <scheme val="minor"/>
    </font>
    <font>
      <b/>
      <sz val="14"/>
      <color theme="1"/>
      <name val="Calibri"/>
      <family val="2"/>
      <scheme val="minor"/>
    </font>
    <font>
      <b/>
      <sz val="12"/>
      <color rgb="FF0070C0"/>
      <name val="Calibri"/>
      <family val="2"/>
      <scheme val="minor"/>
    </font>
  </fonts>
  <fills count="13">
    <fill>
      <patternFill patternType="none"/>
    </fill>
    <fill>
      <patternFill patternType="gray125"/>
    </fill>
    <fill>
      <patternFill patternType="solid">
        <fgColor rgb="FF0070C0"/>
        <bgColor indexed="64"/>
      </patternFill>
    </fill>
    <fill>
      <patternFill patternType="solid">
        <fgColor rgb="FFFFFF00"/>
        <bgColor indexed="64"/>
      </patternFill>
    </fill>
    <fill>
      <patternFill patternType="solid">
        <fgColor rgb="FF7030A0"/>
        <bgColor indexed="64"/>
      </patternFill>
    </fill>
    <fill>
      <patternFill patternType="solid">
        <fgColor rgb="FFFF66FF"/>
        <bgColor indexed="64"/>
      </patternFill>
    </fill>
    <fill>
      <patternFill patternType="solid">
        <fgColor rgb="FF00B0F0"/>
        <bgColor indexed="64"/>
      </patternFill>
    </fill>
    <fill>
      <patternFill patternType="solid">
        <fgColor rgb="FFFF0000"/>
        <bgColor indexed="64"/>
      </patternFill>
    </fill>
    <fill>
      <patternFill patternType="solid">
        <fgColor theme="2" tint="-9.9978637043366805E-2"/>
        <bgColor indexed="64"/>
      </patternFill>
    </fill>
    <fill>
      <patternFill patternType="solid">
        <fgColor rgb="FF92D050"/>
        <bgColor indexed="64"/>
      </patternFill>
    </fill>
    <fill>
      <patternFill patternType="solid">
        <fgColor rgb="FF00B050"/>
        <bgColor indexed="64"/>
      </patternFill>
    </fill>
    <fill>
      <patternFill patternType="solid">
        <fgColor theme="0"/>
        <bgColor indexed="64"/>
      </patternFill>
    </fill>
    <fill>
      <patternFill patternType="solid">
        <fgColor rgb="FFFFC000"/>
        <bgColor indexed="64"/>
      </patternFill>
    </fill>
  </fills>
  <borders count="7">
    <border>
      <left/>
      <right/>
      <top/>
      <bottom/>
      <diagonal/>
    </border>
    <border>
      <left/>
      <right/>
      <top style="thin">
        <color theme="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021"/>
      </right>
      <top style="thin">
        <color indexed="64"/>
      </top>
      <bottom style="thin">
        <color indexed="64"/>
      </bottom>
      <diagonal/>
    </border>
    <border>
      <left style="thin">
        <color theme="0" tint="-0.14996795556505021"/>
      </left>
      <right style="thin">
        <color theme="0" tint="-0.14996795556505021"/>
      </right>
      <top style="thin">
        <color indexed="64"/>
      </top>
      <bottom style="thin">
        <color indexed="64"/>
      </bottom>
      <diagonal/>
    </border>
    <border>
      <left style="thin">
        <color theme="0" tint="-0.14996795556505021"/>
      </left>
      <right style="thin">
        <color theme="0" tint="-0.14996795556505021"/>
      </right>
      <top/>
      <bottom style="thin">
        <color indexed="64"/>
      </bottom>
      <diagonal/>
    </border>
  </borders>
  <cellStyleXfs count="1">
    <xf numFmtId="0" fontId="0" fillId="0" borderId="0"/>
  </cellStyleXfs>
  <cellXfs count="51">
    <xf numFmtId="0" fontId="0" fillId="0" borderId="0" xfId="0"/>
    <xf numFmtId="0" fontId="0" fillId="0" borderId="0" xfId="0" applyAlignment="1">
      <alignment horizontal="center"/>
    </xf>
    <xf numFmtId="0" fontId="0" fillId="0" borderId="0" xfId="0" quotePrefix="1"/>
    <xf numFmtId="0" fontId="0" fillId="0" borderId="1" xfId="0" applyBorder="1"/>
    <xf numFmtId="0" fontId="0" fillId="3" borderId="0" xfId="0" applyFill="1"/>
    <xf numFmtId="0" fontId="1" fillId="2" borderId="0" xfId="0" applyFont="1" applyFill="1"/>
    <xf numFmtId="0" fontId="1" fillId="2" borderId="2" xfId="0" applyFont="1" applyFill="1" applyBorder="1"/>
    <xf numFmtId="0" fontId="0" fillId="0" borderId="2" xfId="0" applyBorder="1"/>
    <xf numFmtId="0" fontId="0" fillId="0" borderId="3" xfId="0" applyBorder="1" applyAlignment="1">
      <alignment horizontal="center"/>
    </xf>
    <xf numFmtId="0" fontId="0" fillId="0" borderId="3" xfId="0" applyBorder="1"/>
    <xf numFmtId="0" fontId="2" fillId="0" borderId="3" xfId="0" applyFont="1" applyBorder="1" applyAlignment="1">
      <alignment horizontal="center"/>
    </xf>
    <xf numFmtId="0" fontId="0" fillId="0" borderId="5" xfId="0" applyBorder="1"/>
    <xf numFmtId="0" fontId="0" fillId="0" borderId="5" xfId="0" applyBorder="1" applyAlignment="1">
      <alignment horizontal="center"/>
    </xf>
    <xf numFmtId="0" fontId="0" fillId="0" borderId="6" xfId="0" applyBorder="1"/>
    <xf numFmtId="0" fontId="0" fillId="0" borderId="4" xfId="0" applyBorder="1" applyAlignment="1">
      <alignment horizontal="left"/>
    </xf>
    <xf numFmtId="0" fontId="0" fillId="0" borderId="0" xfId="0" applyAlignment="1">
      <alignment horizontal="left"/>
    </xf>
    <xf numFmtId="0" fontId="0" fillId="0" borderId="0" xfId="0" applyAlignment="1">
      <alignment horizontal="center" vertical="center"/>
    </xf>
    <xf numFmtId="0" fontId="3" fillId="0" borderId="5" xfId="0" applyFont="1" applyBorder="1"/>
    <xf numFmtId="0" fontId="2" fillId="0" borderId="5" xfId="0" applyFont="1" applyBorder="1"/>
    <xf numFmtId="0" fontId="2" fillId="0" borderId="0" xfId="0" applyFont="1"/>
    <xf numFmtId="0" fontId="0" fillId="0" borderId="6" xfId="0" applyBorder="1" applyAlignment="1">
      <alignment horizontal="left"/>
    </xf>
    <xf numFmtId="0" fontId="6" fillId="2" borderId="0" xfId="0" applyFont="1" applyFill="1" applyAlignment="1">
      <alignment horizontal="left" vertical="center"/>
    </xf>
    <xf numFmtId="0" fontId="7" fillId="0" borderId="0" xfId="0" applyFont="1" applyAlignment="1">
      <alignment vertical="center"/>
    </xf>
    <xf numFmtId="0" fontId="5" fillId="2" borderId="0" xfId="0" applyFont="1" applyFill="1" applyAlignment="1">
      <alignment vertical="center"/>
    </xf>
    <xf numFmtId="0" fontId="1" fillId="2" borderId="0" xfId="0" applyFont="1" applyFill="1" applyAlignment="1">
      <alignment horizontal="right"/>
    </xf>
    <xf numFmtId="0" fontId="2" fillId="0" borderId="0" xfId="0" applyFont="1" applyAlignment="1">
      <alignment wrapText="1"/>
    </xf>
    <xf numFmtId="0" fontId="0" fillId="0" borderId="0" xfId="0" applyAlignment="1">
      <alignment wrapText="1"/>
    </xf>
    <xf numFmtId="49" fontId="3" fillId="0" borderId="0" xfId="0" quotePrefix="1" applyNumberFormat="1" applyFont="1"/>
    <xf numFmtId="49" fontId="3" fillId="0" borderId="0" xfId="0" applyNumberFormat="1" applyFont="1"/>
    <xf numFmtId="49" fontId="2" fillId="0" borderId="0" xfId="0" applyNumberFormat="1" applyFont="1" applyAlignment="1">
      <alignment wrapText="1"/>
    </xf>
    <xf numFmtId="0" fontId="0" fillId="4" borderId="5" xfId="0" applyFill="1" applyBorder="1"/>
    <xf numFmtId="0" fontId="0" fillId="4" borderId="5" xfId="0" applyFill="1" applyBorder="1" applyAlignment="1">
      <alignment horizontal="center"/>
    </xf>
    <xf numFmtId="0" fontId="8" fillId="0" borderId="0" xfId="0" applyFont="1" applyAlignment="1">
      <alignment horizontal="left" vertical="center"/>
    </xf>
    <xf numFmtId="0" fontId="0" fillId="5" borderId="0" xfId="0" applyFill="1"/>
    <xf numFmtId="0" fontId="0" fillId="8" borderId="0" xfId="0" applyFill="1"/>
    <xf numFmtId="164" fontId="0" fillId="0" borderId="0" xfId="0" applyNumberFormat="1" applyProtection="1">
      <protection locked="0"/>
    </xf>
    <xf numFmtId="165" fontId="0" fillId="0" borderId="0" xfId="0" applyNumberFormat="1" applyProtection="1">
      <protection locked="0"/>
    </xf>
    <xf numFmtId="0" fontId="0" fillId="0" borderId="0" xfId="0" applyProtection="1">
      <protection locked="0"/>
    </xf>
    <xf numFmtId="0" fontId="0" fillId="9" borderId="0" xfId="0" applyFill="1"/>
    <xf numFmtId="0" fontId="0" fillId="4" borderId="0" xfId="0" applyFill="1"/>
    <xf numFmtId="0" fontId="0" fillId="7" borderId="0" xfId="0" applyFill="1"/>
    <xf numFmtId="0" fontId="0" fillId="6" borderId="0" xfId="0" applyFill="1"/>
    <xf numFmtId="0" fontId="0" fillId="0" borderId="0" xfId="0" applyAlignment="1" applyProtection="1">
      <alignment wrapText="1"/>
      <protection locked="0"/>
    </xf>
    <xf numFmtId="0" fontId="0" fillId="0" borderId="0" xfId="0" quotePrefix="1" applyAlignment="1">
      <alignment horizontal="center"/>
    </xf>
    <xf numFmtId="0" fontId="0" fillId="10" borderId="0" xfId="0" applyFill="1"/>
    <xf numFmtId="0" fontId="0" fillId="11" borderId="0" xfId="0" applyFill="1"/>
    <xf numFmtId="0" fontId="9" fillId="0" borderId="0" xfId="0" applyFont="1" applyAlignment="1">
      <alignment horizontal="right" vertical="center"/>
    </xf>
    <xf numFmtId="0" fontId="2" fillId="12" borderId="0" xfId="0" applyFont="1" applyFill="1"/>
    <xf numFmtId="49" fontId="3" fillId="12" borderId="0" xfId="0" quotePrefix="1" applyNumberFormat="1" applyFont="1" applyFill="1"/>
    <xf numFmtId="0" fontId="2" fillId="3" borderId="0" xfId="0" applyFont="1" applyFill="1"/>
    <xf numFmtId="0" fontId="0" fillId="7" borderId="0" xfId="0" applyFill="1" applyAlignment="1">
      <alignment horizontal="center"/>
    </xf>
  </cellXfs>
  <cellStyles count="1">
    <cellStyle name="Normal" xfId="0" builtinId="0"/>
  </cellStyles>
  <dxfs count="523">
    <dxf>
      <protection locked="0" hidden="0"/>
    </dxf>
    <dxf>
      <numFmt numFmtId="165" formatCode="dd\ mmm\ yy"/>
      <protection locked="0" hidden="0"/>
    </dxf>
    <dxf>
      <numFmt numFmtId="164" formatCode="0.0"/>
      <protection locked="0" hidden="0"/>
    </dxf>
    <dxf>
      <protection locked="0" hidden="0"/>
    </dxf>
    <dxf>
      <font>
        <strike val="0"/>
        <outline val="0"/>
        <shadow val="0"/>
        <u val="none"/>
        <vertAlign val="baseline"/>
        <sz val="9"/>
        <color theme="1"/>
        <name val="Calibri"/>
        <family val="2"/>
        <scheme val="minor"/>
      </font>
      <numFmt numFmtId="30" formatCode="@"/>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font>
        <b val="0"/>
        <i val="0"/>
        <strike val="0"/>
        <outline val="0"/>
        <shadow val="0"/>
        <u val="none"/>
        <vertAlign val="baseline"/>
        <sz val="10"/>
        <color theme="1"/>
        <name val="Calibri"/>
        <family val="2"/>
        <scheme val="minor"/>
      </font>
      <numFmt numFmtId="30" formatCode="@"/>
    </dxf>
    <dxf>
      <font>
        <strike val="0"/>
        <outline val="0"/>
        <shadow val="0"/>
        <u val="none"/>
        <vertAlign val="baseline"/>
        <sz val="9"/>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val="0"/>
      </font>
    </dxf>
    <dxf>
      <alignment horizontal="left" vertical="bottom" textRotation="0" wrapText="0" indent="0" justifyLastLine="0" shrinkToFit="0" readingOrder="0"/>
    </dxf>
    <dxf>
      <border>
        <bottom style="thin">
          <color indexed="64"/>
        </bottom>
      </border>
    </dxf>
    <dxf>
      <border diagonalUp="0" diagonalDown="0">
        <left style="thin">
          <color theme="0" tint="-0.14996795556505021"/>
        </left>
        <right style="thin">
          <color theme="0" tint="-0.14996795556505021"/>
        </right>
        <top/>
        <bottom/>
        <vertical style="thin">
          <color theme="0" tint="-0.14996795556505021"/>
        </vertical>
        <horizontal/>
      </border>
    </dxf>
    <dxf>
      <font>
        <b/>
        <i val="0"/>
      </font>
      <fill>
        <patternFill>
          <bgColor rgb="FFFFFF00"/>
        </patternFill>
      </fill>
    </dxf>
    <dxf>
      <font>
        <b val="0"/>
        <i/>
        <color theme="0"/>
      </font>
      <fill>
        <patternFill>
          <bgColor rgb="FFFF0000"/>
        </patternFill>
      </fill>
    </dxf>
    <dxf>
      <font>
        <color rgb="FF00B050"/>
      </font>
      <fill>
        <patternFill>
          <bgColor rgb="FF00B050"/>
        </patternFill>
      </fill>
    </dxf>
    <dxf>
      <font>
        <color rgb="FF0070C0"/>
      </font>
      <fill>
        <patternFill>
          <bgColor rgb="FF0070C0"/>
        </patternFill>
      </fill>
    </dxf>
    <dxf>
      <font>
        <b val="0"/>
        <i/>
        <color rgb="FF0070C0"/>
      </font>
    </dxf>
    <dxf>
      <font>
        <b val="0"/>
        <i val="0"/>
        <strike/>
        <color rgb="FFFF0000"/>
      </font>
      <fill>
        <patternFill patternType="none">
          <bgColor auto="1"/>
        </patternFill>
      </fill>
    </dxf>
    <dxf>
      <font>
        <color theme="0"/>
      </font>
      <fill>
        <patternFill>
          <bgColor rgb="FFFF0000"/>
        </patternFill>
      </fill>
    </dxf>
    <dxf>
      <fill>
        <patternFill>
          <bgColor rgb="FFC7FFAB"/>
        </patternFill>
      </fill>
    </dxf>
    <dxf>
      <font>
        <color theme="0"/>
      </font>
      <fill>
        <patternFill>
          <bgColor rgb="FF00B0F0"/>
        </patternFill>
      </fill>
    </dxf>
    <dxf>
      <font>
        <b val="0"/>
        <i val="0"/>
        <color theme="0"/>
      </font>
      <fill>
        <patternFill>
          <bgColor rgb="FF00B050"/>
        </patternFill>
      </fill>
    </dxf>
    <dxf>
      <font>
        <color theme="0"/>
      </font>
      <fill>
        <patternFill>
          <bgColor rgb="FFFF0000"/>
        </patternFill>
      </fill>
    </dxf>
    <dxf>
      <font>
        <color theme="0"/>
      </font>
    </dxf>
    <dxf>
      <font>
        <color rgb="FFFFD966"/>
      </font>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b/>
        <i val="0"/>
        <color rgb="FFFF0000"/>
      </font>
    </dxf>
    <dxf>
      <fill>
        <patternFill>
          <bgColor rgb="FFFFD966"/>
        </patternFill>
      </fill>
    </dxf>
    <dxf>
      <font>
        <color theme="0"/>
      </font>
      <fill>
        <patternFill>
          <bgColor rgb="FF548221"/>
        </patternFill>
      </fill>
    </dxf>
    <dxf>
      <font>
        <color theme="1"/>
      </font>
      <fill>
        <patternFill>
          <bgColor rgb="FFCCEAAC"/>
        </patternFill>
      </fill>
    </dxf>
    <dxf>
      <fill>
        <patternFill>
          <bgColor rgb="FFFFD966"/>
        </patternFill>
      </fill>
    </dxf>
    <dxf>
      <font>
        <color theme="0"/>
      </font>
      <fill>
        <patternFill>
          <bgColor rgb="FF548221"/>
        </patternFill>
      </fill>
    </dxf>
    <dxf>
      <font>
        <color theme="1"/>
      </font>
      <fill>
        <patternFill>
          <bgColor rgb="FFCCEAAC"/>
        </patternFill>
      </fill>
    </dxf>
    <dxf>
      <fill>
        <patternFill>
          <bgColor rgb="FFFFD966"/>
        </patternFill>
      </fill>
    </dxf>
    <dxf>
      <font>
        <color theme="0"/>
      </font>
      <fill>
        <patternFill>
          <bgColor rgb="FF548221"/>
        </patternFill>
      </fill>
    </dxf>
    <dxf>
      <font>
        <color theme="1"/>
      </font>
      <fill>
        <patternFill>
          <bgColor rgb="FFCCEAAC"/>
        </patternFill>
      </fill>
    </dxf>
    <dxf>
      <fill>
        <patternFill>
          <bgColor rgb="FFFFD966"/>
        </patternFill>
      </fill>
    </dxf>
    <dxf>
      <font>
        <color theme="0"/>
      </font>
      <fill>
        <patternFill>
          <bgColor rgb="FF548221"/>
        </patternFill>
      </fill>
    </dxf>
    <dxf>
      <font>
        <color theme="1"/>
      </font>
      <fill>
        <patternFill>
          <bgColor rgb="FFCCEAAC"/>
        </patternFill>
      </fill>
    </dxf>
    <dxf>
      <fill>
        <patternFill>
          <bgColor rgb="FFFFD966"/>
        </patternFill>
      </fill>
    </dxf>
    <dxf>
      <font>
        <color theme="0"/>
      </font>
      <fill>
        <patternFill>
          <bgColor rgb="FF548221"/>
        </patternFill>
      </fill>
    </dxf>
    <dxf>
      <font>
        <color theme="1"/>
      </font>
      <fill>
        <patternFill>
          <bgColor rgb="FFCCEAAC"/>
        </patternFill>
      </fill>
    </dxf>
    <dxf>
      <fill>
        <patternFill>
          <bgColor rgb="FFFFD966"/>
        </patternFill>
      </fill>
    </dxf>
    <dxf>
      <font>
        <color theme="0"/>
      </font>
      <fill>
        <patternFill>
          <bgColor rgb="FF548221"/>
        </patternFill>
      </fill>
    </dxf>
    <dxf>
      <font>
        <color theme="1"/>
      </font>
      <fill>
        <patternFill>
          <bgColor rgb="FFCCEAAC"/>
        </patternFill>
      </fill>
    </dxf>
    <dxf>
      <fill>
        <patternFill>
          <bgColor rgb="FFFFD966"/>
        </patternFill>
      </fill>
    </dxf>
    <dxf>
      <font>
        <color theme="0"/>
      </font>
      <fill>
        <patternFill>
          <bgColor rgb="FF548221"/>
        </patternFill>
      </fill>
    </dxf>
    <dxf>
      <font>
        <color theme="1"/>
      </font>
      <fill>
        <patternFill>
          <bgColor rgb="FFCCEAAC"/>
        </patternFill>
      </fill>
    </dxf>
    <dxf>
      <fill>
        <patternFill>
          <bgColor rgb="FFFFD966"/>
        </patternFill>
      </fill>
    </dxf>
    <dxf>
      <font>
        <color theme="0"/>
      </font>
      <fill>
        <patternFill>
          <bgColor rgb="FF548221"/>
        </patternFill>
      </fill>
    </dxf>
    <dxf>
      <font>
        <color theme="1"/>
      </font>
      <fill>
        <patternFill>
          <bgColor rgb="FFCCEAAC"/>
        </patternFill>
      </fill>
    </dxf>
    <dxf>
      <fill>
        <patternFill>
          <bgColor rgb="FFFFD966"/>
        </patternFill>
      </fill>
    </dxf>
    <dxf>
      <font>
        <color theme="0"/>
      </font>
      <fill>
        <patternFill>
          <bgColor rgb="FF548221"/>
        </patternFill>
      </fill>
    </dxf>
    <dxf>
      <font>
        <color theme="1"/>
      </font>
      <fill>
        <patternFill>
          <bgColor rgb="FFCCEAAC"/>
        </patternFill>
      </fill>
    </dxf>
    <dxf>
      <fill>
        <patternFill>
          <bgColor rgb="FFFFD966"/>
        </patternFill>
      </fill>
    </dxf>
    <dxf>
      <font>
        <color theme="0"/>
      </font>
      <fill>
        <patternFill>
          <bgColor rgb="FF548221"/>
        </patternFill>
      </fill>
    </dxf>
    <dxf>
      <font>
        <color theme="1"/>
      </font>
      <fill>
        <patternFill>
          <bgColor rgb="FFCCEAAC"/>
        </patternFill>
      </fill>
    </dxf>
    <dxf>
      <fill>
        <patternFill>
          <bgColor rgb="FFFFD966"/>
        </patternFill>
      </fill>
    </dxf>
    <dxf>
      <font>
        <color theme="0"/>
      </font>
      <fill>
        <patternFill>
          <bgColor rgb="FF548221"/>
        </patternFill>
      </fill>
    </dxf>
    <dxf>
      <font>
        <color theme="1"/>
      </font>
      <fill>
        <patternFill>
          <bgColor rgb="FFCCEAAC"/>
        </patternFill>
      </fill>
    </dxf>
    <dxf>
      <fill>
        <patternFill>
          <bgColor rgb="FFFFD966"/>
        </patternFill>
      </fill>
    </dxf>
    <dxf>
      <font>
        <color theme="0"/>
      </font>
      <fill>
        <patternFill>
          <bgColor rgb="FF548221"/>
        </patternFill>
      </fill>
    </dxf>
    <dxf>
      <font>
        <color theme="1"/>
      </font>
      <fill>
        <patternFill>
          <bgColor rgb="FFCCEAAC"/>
        </patternFill>
      </fill>
    </dxf>
    <dxf>
      <font>
        <b/>
        <i val="0"/>
      </font>
    </dxf>
    <dxf>
      <font>
        <b val="0"/>
        <i/>
        <color theme="4" tint="-0.24994659260841701"/>
      </font>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color theme="0"/>
      </font>
      <fill>
        <patternFill>
          <bgColor theme="9" tint="-0.24994659260841701"/>
        </patternFill>
      </fill>
    </dxf>
    <dxf>
      <font>
        <b/>
        <i val="0"/>
      </font>
    </dxf>
    <dxf>
      <font>
        <b val="0"/>
        <i/>
        <color theme="4" tint="-0.24994659260841701"/>
      </font>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color theme="0"/>
      </font>
      <fill>
        <patternFill>
          <bgColor theme="9" tint="-0.24994659260841701"/>
        </patternFill>
      </fill>
    </dxf>
    <dxf>
      <numFmt numFmtId="0" formatCode="General"/>
    </dxf>
    <dxf>
      <font>
        <b/>
        <i val="0"/>
      </font>
    </dxf>
    <dxf>
      <font>
        <b val="0"/>
        <i/>
        <color theme="4" tint="-0.24994659260841701"/>
      </font>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color theme="0"/>
      </font>
      <fill>
        <patternFill>
          <bgColor theme="9" tint="-0.24994659260841701"/>
        </patternFill>
      </fill>
    </dxf>
    <dxf>
      <numFmt numFmtId="0" formatCode="General"/>
    </dxf>
    <dxf>
      <numFmt numFmtId="0" formatCode="General"/>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92D050"/>
        </patternFill>
      </fill>
    </dxf>
    <dxf>
      <fill>
        <patternFill>
          <bgColor rgb="FFFFC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outline val="0"/>
        <shadow val="0"/>
        <u val="none"/>
        <vertAlign val="baseline"/>
        <sz val="10"/>
        <color theme="1"/>
        <name val="Calibri"/>
        <family val="2"/>
        <scheme val="minor"/>
      </font>
      <numFmt numFmtId="30" formatCode="@"/>
    </dxf>
    <dxf>
      <font>
        <strike val="0"/>
        <outline val="0"/>
        <shadow val="0"/>
        <u val="none"/>
        <vertAlign val="baseline"/>
        <sz val="9"/>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val="0"/>
      </font>
    </dxf>
    <dxf>
      <alignment horizontal="left" vertical="bottom" textRotation="0" wrapText="0" indent="0" justifyLastLine="0" shrinkToFit="0" readingOrder="0"/>
    </dxf>
    <dxf>
      <numFmt numFmtId="0" formatCode="General"/>
    </dxf>
    <dxf>
      <border>
        <bottom style="thin">
          <color indexed="64"/>
        </bottom>
      </border>
    </dxf>
    <dxf>
      <border diagonalUp="0" diagonalDown="0">
        <left style="thin">
          <color theme="0" tint="-0.14996795556505021"/>
        </left>
        <right style="thin">
          <color theme="0" tint="-0.14996795556505021"/>
        </right>
        <top/>
        <bottom/>
        <vertical style="thin">
          <color theme="0" tint="-0.14996795556505021"/>
        </vertical>
        <horizontal/>
      </border>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b val="0"/>
        <i/>
        <color rgb="FF0070C0"/>
      </font>
    </dxf>
    <dxf>
      <font>
        <b val="0"/>
        <i val="0"/>
        <strike/>
        <color rgb="FFFF0000"/>
      </font>
      <fill>
        <patternFill patternType="none">
          <bgColor auto="1"/>
        </patternFill>
      </fill>
    </dxf>
    <dxf>
      <font>
        <color theme="0"/>
      </font>
      <fill>
        <patternFill>
          <bgColor rgb="FFFF0000"/>
        </patternFill>
      </fill>
    </dxf>
    <dxf>
      <fill>
        <patternFill>
          <bgColor rgb="FFC7FFAB"/>
        </patternFill>
      </fill>
    </dxf>
    <dxf>
      <font>
        <color theme="0"/>
      </font>
      <fill>
        <patternFill>
          <bgColor rgb="FF00B0F0"/>
        </patternFill>
      </fill>
    </dxf>
    <dxf>
      <font>
        <b/>
        <i val="0"/>
      </font>
      <fill>
        <patternFill>
          <bgColor rgb="FFFFFF00"/>
        </patternFill>
      </fill>
    </dxf>
    <dxf>
      <font>
        <b val="0"/>
        <i/>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ill>
        <patternFill>
          <bgColor rgb="FFFF66FF"/>
        </patternFill>
      </fill>
    </dxf>
    <dxf>
      <fill>
        <patternFill>
          <bgColor rgb="FFFF66FF"/>
        </patternFill>
      </fill>
    </dxf>
    <dxf>
      <font>
        <color rgb="FF00B050"/>
      </font>
      <fill>
        <patternFill>
          <bgColor rgb="FF00B050"/>
        </patternFill>
      </fill>
    </dxf>
    <dxf>
      <font>
        <color rgb="FF0070C0"/>
      </font>
      <fill>
        <patternFill>
          <bgColor rgb="FF0070C0"/>
        </patternFill>
      </fill>
    </dxf>
    <dxf>
      <fill>
        <patternFill>
          <bgColor rgb="FFFF66FF"/>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color theme="0"/>
      </font>
    </dxf>
    <dxf>
      <font>
        <color rgb="FFFFD966"/>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font>
        <b val="0"/>
        <i val="0"/>
        <strike val="0"/>
        <outline val="0"/>
        <shadow val="0"/>
        <u val="none"/>
        <vertAlign val="baseline"/>
        <sz val="10"/>
        <color theme="1"/>
        <name val="Calibri"/>
        <family val="2"/>
        <scheme val="minor"/>
      </font>
      <numFmt numFmtId="30" formatCode="@"/>
    </dxf>
    <dxf>
      <font>
        <strike val="0"/>
        <outline val="0"/>
        <shadow val="0"/>
        <u val="none"/>
        <vertAlign val="baseline"/>
        <sz val="9"/>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val="0"/>
      </font>
    </dxf>
    <dxf>
      <alignment horizontal="left" vertical="bottom" textRotation="0" wrapText="0" indent="0" justifyLastLine="0" shrinkToFit="0" readingOrder="0"/>
    </dxf>
    <dxf>
      <border>
        <bottom style="thin">
          <color indexed="64"/>
        </bottom>
      </border>
    </dxf>
    <dxf>
      <border diagonalUp="0" diagonalDown="0">
        <left style="thin">
          <color theme="0" tint="-0.14996795556505021"/>
        </left>
        <right style="thin">
          <color theme="0" tint="-0.14996795556505021"/>
        </right>
        <top/>
        <bottom/>
        <vertical style="thin">
          <color theme="0" tint="-0.14996795556505021"/>
        </vertical>
        <horizontal/>
      </border>
    </dxf>
    <dxf>
      <font>
        <color rgb="FF00B050"/>
      </font>
      <fill>
        <patternFill>
          <bgColor rgb="FF00B050"/>
        </patternFill>
      </fill>
    </dxf>
    <dxf>
      <font>
        <color rgb="FF0070C0"/>
      </font>
      <fill>
        <patternFill>
          <bgColor rgb="FF0070C0"/>
        </patternFill>
      </fill>
    </dxf>
    <dxf>
      <font>
        <b/>
        <i val="0"/>
      </font>
      <fill>
        <patternFill>
          <bgColor rgb="FFFFFF00"/>
        </patternFill>
      </fill>
    </dxf>
    <dxf>
      <font>
        <b val="0"/>
        <i/>
        <color theme="0"/>
      </font>
      <fill>
        <patternFill>
          <bgColor rgb="FFFF0000"/>
        </patternFill>
      </fill>
    </dxf>
    <dxf>
      <font>
        <b val="0"/>
        <i/>
        <color theme="0"/>
      </font>
      <fill>
        <patternFill>
          <bgColor rgb="FFFF0000"/>
        </patternFill>
      </fill>
    </dxf>
    <dxf>
      <font>
        <b val="0"/>
        <i/>
        <color rgb="FF0070C0"/>
      </font>
    </dxf>
    <dxf>
      <font>
        <b val="0"/>
        <i val="0"/>
        <strike/>
        <color rgb="FFFF0000"/>
      </font>
      <fill>
        <patternFill patternType="none">
          <bgColor auto="1"/>
        </patternFill>
      </fill>
    </dxf>
    <dxf>
      <font>
        <color theme="0"/>
      </font>
      <fill>
        <patternFill>
          <bgColor rgb="FFFF0000"/>
        </patternFill>
      </fill>
    </dxf>
    <dxf>
      <fill>
        <patternFill>
          <bgColor rgb="FFC7FFAB"/>
        </patternFill>
      </fill>
    </dxf>
    <dxf>
      <font>
        <color theme="0"/>
      </font>
      <fill>
        <patternFill>
          <bgColor rgb="FF00B0F0"/>
        </patternFill>
      </fill>
    </dxf>
    <dxf>
      <font>
        <b val="0"/>
        <i val="0"/>
        <color theme="0"/>
      </font>
      <fill>
        <patternFill>
          <bgColor rgb="FF00B050"/>
        </patternFill>
      </fill>
    </dxf>
    <dxf>
      <font>
        <color theme="0"/>
      </font>
      <fill>
        <patternFill>
          <bgColor rgb="FFFF0000"/>
        </patternFill>
      </fill>
    </dxf>
    <dxf>
      <font>
        <color theme="0"/>
      </font>
    </dxf>
    <dxf>
      <font>
        <color rgb="FFFFD966"/>
      </font>
    </dxf>
    <dxf>
      <font>
        <b/>
        <i val="0"/>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strike val="0"/>
        <outline val="0"/>
        <shadow val="0"/>
        <u val="none"/>
        <vertAlign val="baseline"/>
        <sz val="9"/>
        <color theme="1"/>
        <name val="Calibri"/>
        <family val="2"/>
        <scheme val="minor"/>
      </font>
      <numFmt numFmtId="30" formatCode="@"/>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font>
        <b val="0"/>
        <i val="0"/>
        <strike val="0"/>
        <outline val="0"/>
        <shadow val="0"/>
        <u val="none"/>
        <vertAlign val="baseline"/>
        <sz val="10"/>
        <color theme="1"/>
        <name val="Calibri"/>
        <family val="2"/>
        <scheme val="minor"/>
      </font>
      <numFmt numFmtId="30" formatCode="@"/>
    </dxf>
    <dxf>
      <font>
        <strike val="0"/>
        <outline val="0"/>
        <shadow val="0"/>
        <u val="none"/>
        <vertAlign val="baseline"/>
        <sz val="9"/>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val="0"/>
      </font>
    </dxf>
    <dxf>
      <alignment horizontal="left" vertical="bottom" textRotation="0" wrapText="0" indent="0" justifyLastLine="0" shrinkToFit="0" readingOrder="0"/>
    </dxf>
    <dxf>
      <border>
        <bottom style="thin">
          <color indexed="64"/>
        </bottom>
      </border>
    </dxf>
    <dxf>
      <border diagonalUp="0" diagonalDown="0">
        <left style="thin">
          <color theme="0" tint="-0.14996795556505021"/>
        </left>
        <right style="thin">
          <color theme="0" tint="-0.14996795556505021"/>
        </right>
        <top/>
        <bottom/>
        <vertical style="thin">
          <color theme="0" tint="-0.14996795556505021"/>
        </vertical>
        <horizontal/>
      </border>
    </dxf>
    <dxf>
      <font>
        <color rgb="FF00B050"/>
      </font>
      <fill>
        <patternFill>
          <bgColor rgb="FF00B050"/>
        </patternFill>
      </fill>
    </dxf>
    <dxf>
      <font>
        <color rgb="FF0070C0"/>
      </font>
      <fill>
        <patternFill>
          <bgColor rgb="FF0070C0"/>
        </patternFill>
      </fill>
    </dxf>
    <dxf>
      <font>
        <b/>
        <i val="0"/>
      </font>
      <fill>
        <patternFill>
          <bgColor rgb="FFFFFF00"/>
        </patternFill>
      </fill>
    </dxf>
    <dxf>
      <font>
        <b val="0"/>
        <i/>
        <color theme="0"/>
      </font>
      <fill>
        <patternFill>
          <bgColor rgb="FFFF0000"/>
        </patternFill>
      </fill>
    </dxf>
    <dxf>
      <font>
        <b val="0"/>
        <i/>
        <color theme="0"/>
      </font>
      <fill>
        <patternFill>
          <bgColor rgb="FFFF0000"/>
        </patternFill>
      </fill>
    </dxf>
    <dxf>
      <font>
        <b val="0"/>
        <i/>
        <color rgb="FF0070C0"/>
      </font>
    </dxf>
    <dxf>
      <font>
        <b val="0"/>
        <i val="0"/>
        <strike/>
        <color rgb="FFFF0000"/>
      </font>
      <fill>
        <patternFill patternType="none">
          <bgColor auto="1"/>
        </patternFill>
      </fill>
    </dxf>
    <dxf>
      <font>
        <color theme="0"/>
      </font>
      <fill>
        <patternFill>
          <bgColor rgb="FFFF0000"/>
        </patternFill>
      </fill>
    </dxf>
    <dxf>
      <fill>
        <patternFill>
          <bgColor rgb="FFC7FFAB"/>
        </patternFill>
      </fill>
    </dxf>
    <dxf>
      <font>
        <color theme="0"/>
      </font>
      <fill>
        <patternFill>
          <bgColor rgb="FF00B0F0"/>
        </patternFill>
      </fill>
    </dxf>
    <dxf>
      <font>
        <b val="0"/>
        <i val="0"/>
        <color theme="0"/>
      </font>
      <fill>
        <patternFill>
          <bgColor rgb="FF00B050"/>
        </patternFill>
      </fill>
    </dxf>
    <dxf>
      <font>
        <color theme="0"/>
      </font>
      <fill>
        <patternFill>
          <bgColor rgb="FFFF0000"/>
        </patternFill>
      </fill>
    </dxf>
    <dxf>
      <font>
        <color theme="0"/>
      </font>
    </dxf>
    <dxf>
      <font>
        <color rgb="FFFFD966"/>
      </font>
    </dxf>
    <dxf>
      <font>
        <b/>
        <i val="0"/>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strike val="0"/>
        <outline val="0"/>
        <shadow val="0"/>
        <u val="none"/>
        <vertAlign val="baseline"/>
        <sz val="9"/>
        <color theme="1"/>
        <name val="Calibri"/>
        <family val="2"/>
        <scheme val="minor"/>
      </font>
      <numFmt numFmtId="30" formatCode="@"/>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font>
        <b val="0"/>
        <i val="0"/>
        <strike val="0"/>
        <outline val="0"/>
        <shadow val="0"/>
        <u val="none"/>
        <vertAlign val="baseline"/>
        <sz val="10"/>
        <color theme="1"/>
        <name val="Calibri"/>
        <family val="2"/>
        <scheme val="minor"/>
      </font>
      <numFmt numFmtId="30" formatCode="@"/>
    </dxf>
    <dxf>
      <font>
        <strike val="0"/>
        <outline val="0"/>
        <shadow val="0"/>
        <u val="none"/>
        <vertAlign val="baseline"/>
        <sz val="9"/>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val="0"/>
      </font>
    </dxf>
    <dxf>
      <alignment horizontal="left" vertical="bottom" textRotation="0" wrapText="0" indent="0" justifyLastLine="0" shrinkToFit="0" readingOrder="0"/>
    </dxf>
    <dxf>
      <border>
        <bottom style="thin">
          <color indexed="64"/>
        </bottom>
      </border>
    </dxf>
    <dxf>
      <border diagonalUp="0" diagonalDown="0">
        <left style="thin">
          <color theme="0" tint="-0.14996795556505021"/>
        </left>
        <right style="thin">
          <color theme="0" tint="-0.14996795556505021"/>
        </right>
        <top/>
        <bottom/>
        <vertical style="thin">
          <color theme="0" tint="-0.14996795556505021"/>
        </vertical>
        <horizontal/>
      </border>
    </dxf>
    <dxf>
      <font>
        <color rgb="FF00B050"/>
      </font>
      <fill>
        <patternFill>
          <bgColor rgb="FF00B050"/>
        </patternFill>
      </fill>
    </dxf>
    <dxf>
      <font>
        <color rgb="FF0070C0"/>
      </font>
      <fill>
        <patternFill>
          <bgColor rgb="FF0070C0"/>
        </patternFill>
      </fill>
    </dxf>
    <dxf>
      <font>
        <b/>
        <i val="0"/>
      </font>
      <fill>
        <patternFill>
          <bgColor rgb="FFFFFF00"/>
        </patternFill>
      </fill>
    </dxf>
    <dxf>
      <font>
        <b val="0"/>
        <i/>
        <color theme="0"/>
      </font>
      <fill>
        <patternFill>
          <bgColor rgb="FFFF0000"/>
        </patternFill>
      </fill>
    </dxf>
    <dxf>
      <font>
        <b val="0"/>
        <i/>
        <color theme="0"/>
      </font>
      <fill>
        <patternFill>
          <bgColor rgb="FFFF0000"/>
        </patternFill>
      </fill>
    </dxf>
    <dxf>
      <font>
        <b val="0"/>
        <i/>
        <color rgb="FF0070C0"/>
      </font>
    </dxf>
    <dxf>
      <font>
        <b val="0"/>
        <i val="0"/>
        <strike/>
        <color rgb="FFFF0000"/>
      </font>
      <fill>
        <patternFill patternType="none">
          <bgColor auto="1"/>
        </patternFill>
      </fill>
    </dxf>
    <dxf>
      <font>
        <color theme="0"/>
      </font>
      <fill>
        <patternFill>
          <bgColor rgb="FFFF0000"/>
        </patternFill>
      </fill>
    </dxf>
    <dxf>
      <fill>
        <patternFill>
          <bgColor rgb="FFC7FFAB"/>
        </patternFill>
      </fill>
    </dxf>
    <dxf>
      <font>
        <color theme="0"/>
      </font>
      <fill>
        <patternFill>
          <bgColor rgb="FF00B0F0"/>
        </patternFill>
      </fill>
    </dxf>
    <dxf>
      <font>
        <b val="0"/>
        <i val="0"/>
        <color theme="0"/>
      </font>
      <fill>
        <patternFill>
          <bgColor rgb="FF00B050"/>
        </patternFill>
      </fill>
    </dxf>
    <dxf>
      <font>
        <color theme="0"/>
      </font>
      <fill>
        <patternFill>
          <bgColor rgb="FFFF0000"/>
        </patternFill>
      </fill>
    </dxf>
    <dxf>
      <font>
        <color theme="0"/>
      </font>
    </dxf>
    <dxf>
      <font>
        <color rgb="FFFFD966"/>
      </font>
    </dxf>
    <dxf>
      <font>
        <b/>
        <i val="0"/>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strike val="0"/>
        <outline val="0"/>
        <shadow val="0"/>
        <u val="none"/>
        <vertAlign val="baseline"/>
        <sz val="9"/>
        <color theme="1"/>
        <name val="Calibri"/>
        <family val="2"/>
        <scheme val="minor"/>
      </font>
      <numFmt numFmtId="30" formatCode="@"/>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font>
        <b val="0"/>
        <i val="0"/>
        <strike val="0"/>
        <outline val="0"/>
        <shadow val="0"/>
        <u val="none"/>
        <vertAlign val="baseline"/>
        <sz val="10"/>
        <color theme="1"/>
        <name val="Calibri"/>
        <family val="2"/>
        <scheme val="minor"/>
      </font>
      <numFmt numFmtId="30" formatCode="@"/>
    </dxf>
    <dxf>
      <font>
        <strike val="0"/>
        <outline val="0"/>
        <shadow val="0"/>
        <u val="none"/>
        <vertAlign val="baseline"/>
        <sz val="9"/>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val="0"/>
      </font>
    </dxf>
    <dxf>
      <alignment horizontal="left" vertical="bottom" textRotation="0" wrapText="0" indent="0" justifyLastLine="0" shrinkToFit="0" readingOrder="0"/>
    </dxf>
    <dxf>
      <border>
        <bottom style="thin">
          <color indexed="64"/>
        </bottom>
      </border>
    </dxf>
    <dxf>
      <border diagonalUp="0" diagonalDown="0">
        <left style="thin">
          <color theme="0" tint="-0.14996795556505021"/>
        </left>
        <right style="thin">
          <color theme="0" tint="-0.14996795556505021"/>
        </right>
        <top/>
        <bottom/>
        <vertical style="thin">
          <color theme="0" tint="-0.14996795556505021"/>
        </vertical>
        <horizontal/>
      </border>
    </dxf>
    <dxf>
      <font>
        <b/>
        <i val="0"/>
      </font>
      <fill>
        <patternFill>
          <bgColor rgb="FFFFFF00"/>
        </patternFill>
      </fill>
    </dxf>
    <dxf>
      <font>
        <b val="0"/>
        <i/>
        <color theme="0"/>
      </font>
      <fill>
        <patternFill>
          <bgColor rgb="FFFF0000"/>
        </patternFill>
      </fill>
    </dxf>
    <dxf>
      <font>
        <b val="0"/>
        <i/>
        <color theme="0"/>
      </font>
      <fill>
        <patternFill>
          <bgColor rgb="FFFF0000"/>
        </patternFill>
      </fill>
    </dxf>
    <dxf>
      <font>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b/>
        <i val="0"/>
      </font>
      <fill>
        <patternFill>
          <bgColor rgb="FFFFFF00"/>
        </patternFill>
      </fill>
    </dxf>
    <dxf>
      <font>
        <b val="0"/>
        <i/>
        <color theme="0"/>
      </font>
      <fill>
        <patternFill>
          <bgColor rgb="FFFF0000"/>
        </patternFill>
      </fill>
    </dxf>
    <dxf>
      <font>
        <b val="0"/>
        <i/>
        <color theme="0"/>
      </font>
      <fill>
        <patternFill>
          <bgColor rgb="FFFF0000"/>
        </patternFill>
      </fill>
    </dxf>
    <dxf>
      <font>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b/>
        <i val="0"/>
      </font>
      <fill>
        <patternFill>
          <bgColor rgb="FFFFFF00"/>
        </patternFill>
      </fill>
    </dxf>
    <dxf>
      <font>
        <b val="0"/>
        <i/>
        <color theme="0"/>
      </font>
      <fill>
        <patternFill>
          <bgColor rgb="FFFF0000"/>
        </patternFill>
      </fill>
    </dxf>
    <dxf>
      <font>
        <b val="0"/>
        <i/>
        <color theme="0"/>
      </font>
      <fill>
        <patternFill>
          <bgColor rgb="FFFF0000"/>
        </patternFill>
      </fill>
    </dxf>
    <dxf>
      <font>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b/>
        <i val="0"/>
      </font>
      <fill>
        <patternFill>
          <bgColor rgb="FFFFFF00"/>
        </patternFill>
      </fill>
    </dxf>
    <dxf>
      <font>
        <b val="0"/>
        <i/>
        <color theme="0"/>
      </font>
      <fill>
        <patternFill>
          <bgColor rgb="FFFF0000"/>
        </patternFill>
      </fill>
    </dxf>
    <dxf>
      <font>
        <b val="0"/>
        <i/>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color rgb="FF00B050"/>
      </font>
      <fill>
        <patternFill>
          <bgColor rgb="FF00B050"/>
        </patternFill>
      </fill>
    </dxf>
    <dxf>
      <font>
        <color rgb="FF0070C0"/>
      </font>
      <fill>
        <patternFill>
          <bgColor rgb="FF0070C0"/>
        </patternFill>
      </fill>
    </dxf>
    <dxf>
      <font>
        <b/>
        <i val="0"/>
      </font>
      <fill>
        <patternFill>
          <bgColor rgb="FFFFFF00"/>
        </patternFill>
      </fill>
    </dxf>
    <dxf>
      <font>
        <b val="0"/>
        <i/>
        <color theme="0"/>
      </font>
      <fill>
        <patternFill>
          <bgColor rgb="FFFF0000"/>
        </patternFill>
      </fill>
    </dxf>
    <dxf>
      <font>
        <b val="0"/>
        <i/>
        <color theme="0"/>
      </font>
      <fill>
        <patternFill>
          <bgColor rgb="FFFF0000"/>
        </patternFill>
      </fill>
    </dxf>
    <dxf>
      <font>
        <b val="0"/>
        <i/>
        <color rgb="FF0070C0"/>
      </font>
    </dxf>
    <dxf>
      <font>
        <b val="0"/>
        <i val="0"/>
        <strike/>
        <color rgb="FFFF0000"/>
      </font>
      <fill>
        <patternFill patternType="none">
          <bgColor auto="1"/>
        </patternFill>
      </fill>
    </dxf>
    <dxf>
      <font>
        <color theme="0"/>
      </font>
      <fill>
        <patternFill>
          <bgColor rgb="FFFF0000"/>
        </patternFill>
      </fill>
    </dxf>
    <dxf>
      <fill>
        <patternFill>
          <bgColor rgb="FFC7FFAB"/>
        </patternFill>
      </fill>
    </dxf>
    <dxf>
      <font>
        <color theme="0"/>
      </font>
      <fill>
        <patternFill>
          <bgColor rgb="FF00B0F0"/>
        </patternFill>
      </fill>
    </dxf>
    <dxf>
      <font>
        <b val="0"/>
        <i val="0"/>
        <color theme="0"/>
      </font>
      <fill>
        <patternFill>
          <bgColor rgb="FF00B050"/>
        </patternFill>
      </fill>
    </dxf>
    <dxf>
      <font>
        <color theme="0"/>
      </font>
      <fill>
        <patternFill>
          <bgColor rgb="FFFF0000"/>
        </patternFill>
      </fill>
    </dxf>
    <dxf>
      <font>
        <color theme="0"/>
      </font>
    </dxf>
    <dxf>
      <font>
        <color rgb="FFFFD966"/>
      </font>
    </dxf>
    <dxf>
      <font>
        <b/>
        <i val="0"/>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strike val="0"/>
        <outline val="0"/>
        <shadow val="0"/>
        <u val="none"/>
        <vertAlign val="baseline"/>
        <sz val="9"/>
        <color theme="1"/>
        <name val="Calibri"/>
        <family val="2"/>
        <scheme val="minor"/>
      </font>
      <numFmt numFmtId="30" formatCode="@"/>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font>
        <b val="0"/>
        <i val="0"/>
        <strike val="0"/>
        <outline val="0"/>
        <shadow val="0"/>
        <u val="none"/>
        <vertAlign val="baseline"/>
        <sz val="10"/>
        <color theme="1"/>
        <name val="Calibri"/>
        <family val="2"/>
        <scheme val="minor"/>
      </font>
      <numFmt numFmtId="30" formatCode="@"/>
    </dxf>
    <dxf>
      <font>
        <strike val="0"/>
        <outline val="0"/>
        <shadow val="0"/>
        <u val="none"/>
        <vertAlign val="baseline"/>
        <sz val="9"/>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val="0"/>
      </font>
    </dxf>
    <dxf>
      <alignment horizontal="left" vertical="bottom" textRotation="0" wrapText="0" indent="0" justifyLastLine="0" shrinkToFit="0" readingOrder="0"/>
    </dxf>
    <dxf>
      <border>
        <bottom style="thin">
          <color indexed="64"/>
        </bottom>
      </border>
    </dxf>
    <dxf>
      <border diagonalUp="0" diagonalDown="0">
        <left style="thin">
          <color theme="0" tint="-0.14996795556505021"/>
        </left>
        <right style="thin">
          <color theme="0" tint="-0.14996795556505021"/>
        </right>
        <top/>
        <bottom/>
        <vertical style="thin">
          <color theme="0" tint="-0.14996795556505021"/>
        </vertical>
        <horizontal/>
      </border>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color rgb="FF00B050"/>
      </font>
      <fill>
        <patternFill>
          <bgColor rgb="FF00B050"/>
        </patternFill>
      </fill>
    </dxf>
    <dxf>
      <font>
        <color rgb="FF0070C0"/>
      </font>
      <fill>
        <patternFill>
          <bgColor rgb="FF0070C0"/>
        </patternFill>
      </fill>
    </dxf>
    <dxf>
      <font>
        <b/>
        <i val="0"/>
      </font>
      <fill>
        <patternFill>
          <bgColor rgb="FFFFFF00"/>
        </patternFill>
      </fill>
    </dxf>
    <dxf>
      <font>
        <b val="0"/>
        <i/>
        <color theme="0"/>
      </font>
      <fill>
        <patternFill>
          <bgColor rgb="FFFF0000"/>
        </patternFill>
      </fill>
    </dxf>
    <dxf>
      <font>
        <b val="0"/>
        <i/>
        <color theme="0"/>
      </font>
      <fill>
        <patternFill>
          <bgColor rgb="FFFF0000"/>
        </patternFill>
      </fill>
    </dxf>
    <dxf>
      <font>
        <b val="0"/>
        <i/>
        <color rgb="FF0070C0"/>
      </font>
    </dxf>
    <dxf>
      <font>
        <b val="0"/>
        <i val="0"/>
        <strike/>
        <color rgb="FFFF0000"/>
      </font>
      <fill>
        <patternFill patternType="none">
          <bgColor auto="1"/>
        </patternFill>
      </fill>
    </dxf>
    <dxf>
      <font>
        <color theme="0"/>
      </font>
      <fill>
        <patternFill>
          <bgColor rgb="FFFF0000"/>
        </patternFill>
      </fill>
    </dxf>
    <dxf>
      <fill>
        <patternFill>
          <bgColor rgb="FFC7FFAB"/>
        </patternFill>
      </fill>
    </dxf>
    <dxf>
      <font>
        <color theme="0"/>
      </font>
      <fill>
        <patternFill>
          <bgColor rgb="FF00B0F0"/>
        </patternFill>
      </fill>
    </dxf>
    <dxf>
      <font>
        <b val="0"/>
        <i val="0"/>
        <color theme="0"/>
      </font>
      <fill>
        <patternFill>
          <bgColor rgb="FF00B050"/>
        </patternFill>
      </fill>
    </dxf>
    <dxf>
      <font>
        <color theme="0"/>
      </font>
      <fill>
        <patternFill>
          <bgColor rgb="FFFF0000"/>
        </patternFill>
      </fill>
    </dxf>
    <dxf>
      <font>
        <color theme="0"/>
      </font>
    </dxf>
    <dxf>
      <font>
        <color rgb="FFFFD966"/>
      </font>
    </dxf>
    <dxf>
      <font>
        <b/>
        <i val="0"/>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strike val="0"/>
        <outline val="0"/>
        <shadow val="0"/>
        <u val="none"/>
        <vertAlign val="baseline"/>
        <sz val="9"/>
        <color theme="1"/>
        <name val="Calibri"/>
        <family val="2"/>
        <scheme val="minor"/>
      </font>
      <numFmt numFmtId="30" formatCode="@"/>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font>
        <b val="0"/>
        <i val="0"/>
        <strike val="0"/>
        <outline val="0"/>
        <shadow val="0"/>
        <u val="none"/>
        <vertAlign val="baseline"/>
        <sz val="10"/>
        <color theme="1"/>
        <name val="Calibri"/>
        <family val="2"/>
        <scheme val="minor"/>
      </font>
      <numFmt numFmtId="30" formatCode="@"/>
    </dxf>
    <dxf>
      <font>
        <strike val="0"/>
        <outline val="0"/>
        <shadow val="0"/>
        <u val="none"/>
        <vertAlign val="baseline"/>
        <sz val="9"/>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val="0"/>
      </font>
    </dxf>
    <dxf>
      <alignment horizontal="left" vertical="bottom" textRotation="0" wrapText="0" indent="0" justifyLastLine="0" shrinkToFit="0" readingOrder="0"/>
    </dxf>
    <dxf>
      <border>
        <bottom style="thin">
          <color indexed="64"/>
        </bottom>
      </border>
    </dxf>
    <dxf>
      <border diagonalUp="0" diagonalDown="0">
        <left style="thin">
          <color theme="0" tint="-0.14996795556505021"/>
        </left>
        <right style="thin">
          <color theme="0" tint="-0.14996795556505021"/>
        </right>
        <top/>
        <bottom/>
        <vertical style="thin">
          <color theme="0" tint="-0.14996795556505021"/>
        </vertical>
        <horizontal/>
      </border>
    </dxf>
    <dxf>
      <font>
        <color rgb="FF00B050"/>
      </font>
      <fill>
        <patternFill>
          <bgColor rgb="FF00B050"/>
        </patternFill>
      </fill>
    </dxf>
    <dxf>
      <font>
        <color rgb="FF0070C0"/>
      </font>
      <fill>
        <patternFill>
          <bgColor rgb="FF0070C0"/>
        </patternFill>
      </fill>
    </dxf>
    <dxf>
      <font>
        <b/>
        <i val="0"/>
      </font>
      <fill>
        <patternFill>
          <bgColor rgb="FFFFFF00"/>
        </patternFill>
      </fill>
    </dxf>
    <dxf>
      <font>
        <b val="0"/>
        <i/>
        <color theme="0"/>
      </font>
      <fill>
        <patternFill>
          <bgColor rgb="FFFF0000"/>
        </patternFill>
      </fill>
    </dxf>
    <dxf>
      <font>
        <b val="0"/>
        <i/>
        <color theme="0"/>
      </font>
      <fill>
        <patternFill>
          <bgColor rgb="FFFF0000"/>
        </patternFill>
      </fill>
    </dxf>
    <dxf>
      <font>
        <b val="0"/>
        <i/>
        <color rgb="FF0070C0"/>
      </font>
    </dxf>
    <dxf>
      <font>
        <b val="0"/>
        <i val="0"/>
        <strike/>
        <color rgb="FFFF0000"/>
      </font>
      <fill>
        <patternFill patternType="none">
          <bgColor auto="1"/>
        </patternFill>
      </fill>
    </dxf>
    <dxf>
      <font>
        <color theme="0"/>
      </font>
      <fill>
        <patternFill>
          <bgColor rgb="FFFF0000"/>
        </patternFill>
      </fill>
    </dxf>
    <dxf>
      <fill>
        <patternFill>
          <bgColor rgb="FFC7FFAB"/>
        </patternFill>
      </fill>
    </dxf>
    <dxf>
      <font>
        <color theme="0"/>
      </font>
      <fill>
        <patternFill>
          <bgColor rgb="FF00B0F0"/>
        </patternFill>
      </fill>
    </dxf>
    <dxf>
      <font>
        <b val="0"/>
        <i val="0"/>
        <color theme="0"/>
      </font>
      <fill>
        <patternFill>
          <bgColor rgb="FF00B050"/>
        </patternFill>
      </fill>
    </dxf>
    <dxf>
      <font>
        <color theme="0"/>
      </font>
      <fill>
        <patternFill>
          <bgColor rgb="FFFF0000"/>
        </patternFill>
      </fill>
    </dxf>
    <dxf>
      <font>
        <color theme="0"/>
      </font>
    </dxf>
    <dxf>
      <font>
        <color rgb="FFFFD966"/>
      </font>
    </dxf>
    <dxf>
      <font>
        <b/>
        <i val="0"/>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strike val="0"/>
        <outline val="0"/>
        <shadow val="0"/>
        <u val="none"/>
        <vertAlign val="baseline"/>
        <sz val="9"/>
        <color theme="1"/>
        <name val="Calibri"/>
        <family val="2"/>
        <scheme val="minor"/>
      </font>
      <numFmt numFmtId="30" formatCode="@"/>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font>
        <b val="0"/>
        <i val="0"/>
        <strike val="0"/>
        <outline val="0"/>
        <shadow val="0"/>
        <u val="none"/>
        <vertAlign val="baseline"/>
        <sz val="10"/>
        <color theme="1"/>
        <name val="Calibri"/>
        <family val="2"/>
        <scheme val="minor"/>
      </font>
      <numFmt numFmtId="30" formatCode="@"/>
    </dxf>
    <dxf>
      <font>
        <strike val="0"/>
        <outline val="0"/>
        <shadow val="0"/>
        <u val="none"/>
        <vertAlign val="baseline"/>
        <sz val="9"/>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val="0"/>
      </font>
    </dxf>
    <dxf>
      <alignment horizontal="left" vertical="bottom" textRotation="0" wrapText="0" indent="0" justifyLastLine="0" shrinkToFit="0" readingOrder="0"/>
    </dxf>
    <dxf>
      <border>
        <bottom style="thin">
          <color indexed="64"/>
        </bottom>
      </border>
    </dxf>
    <dxf>
      <border diagonalUp="0" diagonalDown="0">
        <left style="thin">
          <color theme="0" tint="-0.14996795556505021"/>
        </left>
        <right style="thin">
          <color theme="0" tint="-0.14996795556505021"/>
        </right>
        <top/>
        <bottom/>
        <vertical style="thin">
          <color theme="0" tint="-0.14996795556505021"/>
        </vertical>
        <horizontal/>
      </border>
    </dxf>
    <dxf>
      <font>
        <color rgb="FF00B050"/>
      </font>
      <fill>
        <patternFill>
          <bgColor rgb="FF00B050"/>
        </patternFill>
      </fill>
    </dxf>
    <dxf>
      <font>
        <color rgb="FF0070C0"/>
      </font>
      <fill>
        <patternFill>
          <bgColor rgb="FF0070C0"/>
        </patternFill>
      </fill>
    </dxf>
    <dxf>
      <font>
        <b/>
        <i val="0"/>
      </font>
      <fill>
        <patternFill>
          <bgColor rgb="FFFFFF00"/>
        </patternFill>
      </fill>
    </dxf>
    <dxf>
      <font>
        <b val="0"/>
        <i/>
        <color theme="0"/>
      </font>
      <fill>
        <patternFill>
          <bgColor rgb="FFFF0000"/>
        </patternFill>
      </fill>
    </dxf>
    <dxf>
      <font>
        <b val="0"/>
        <i/>
        <color theme="0"/>
      </font>
      <fill>
        <patternFill>
          <bgColor rgb="FFFF0000"/>
        </patternFill>
      </fill>
    </dxf>
    <dxf>
      <font>
        <b val="0"/>
        <i/>
        <color rgb="FF0070C0"/>
      </font>
    </dxf>
    <dxf>
      <font>
        <b val="0"/>
        <i val="0"/>
        <strike/>
        <color rgb="FFFF0000"/>
      </font>
      <fill>
        <patternFill patternType="none">
          <bgColor auto="1"/>
        </patternFill>
      </fill>
    </dxf>
    <dxf>
      <font>
        <color theme="0"/>
      </font>
      <fill>
        <patternFill>
          <bgColor rgb="FFFF0000"/>
        </patternFill>
      </fill>
    </dxf>
    <dxf>
      <fill>
        <patternFill>
          <bgColor rgb="FFC7FFAB"/>
        </patternFill>
      </fill>
    </dxf>
    <dxf>
      <font>
        <color theme="0"/>
      </font>
      <fill>
        <patternFill>
          <bgColor rgb="FF00B0F0"/>
        </patternFill>
      </fill>
    </dxf>
    <dxf>
      <font>
        <b val="0"/>
        <i val="0"/>
        <color theme="0"/>
      </font>
      <fill>
        <patternFill>
          <bgColor rgb="FF00B050"/>
        </patternFill>
      </fill>
    </dxf>
    <dxf>
      <font>
        <color theme="0"/>
      </font>
      <fill>
        <patternFill>
          <bgColor rgb="FFFF0000"/>
        </patternFill>
      </fill>
    </dxf>
    <dxf>
      <font>
        <color theme="0"/>
      </font>
    </dxf>
    <dxf>
      <font>
        <color rgb="FFFFD966"/>
      </font>
    </dxf>
    <dxf>
      <font>
        <b/>
        <i val="0"/>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
      <font>
        <strike val="0"/>
        <outline val="0"/>
        <shadow val="0"/>
        <u val="none"/>
        <vertAlign val="baseline"/>
        <sz val="9"/>
        <color theme="1"/>
        <name val="Calibri"/>
        <family val="2"/>
        <scheme val="minor"/>
      </font>
      <numFmt numFmtId="30" formatCode="@"/>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font>
        <b val="0"/>
        <i val="0"/>
        <strike val="0"/>
        <outline val="0"/>
        <shadow val="0"/>
        <u val="none"/>
        <vertAlign val="baseline"/>
        <sz val="10"/>
        <color theme="1"/>
        <name val="Calibri"/>
        <family val="2"/>
        <scheme val="minor"/>
      </font>
      <numFmt numFmtId="30" formatCode="@"/>
    </dxf>
    <dxf>
      <font>
        <strike val="0"/>
        <outline val="0"/>
        <shadow val="0"/>
        <u val="none"/>
        <vertAlign val="baseline"/>
        <sz val="9"/>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val="0"/>
      </font>
    </dxf>
    <dxf>
      <alignment horizontal="left" vertical="bottom" textRotation="0" wrapText="0" indent="0" justifyLastLine="0" shrinkToFit="0" readingOrder="0"/>
    </dxf>
    <dxf>
      <border>
        <bottom style="thin">
          <color indexed="64"/>
        </bottom>
      </border>
    </dxf>
    <dxf>
      <border diagonalUp="0" diagonalDown="0">
        <left style="thin">
          <color theme="0" tint="-0.14996795556505021"/>
        </left>
        <right style="thin">
          <color theme="0" tint="-0.14996795556505021"/>
        </right>
        <top/>
        <bottom/>
        <vertical style="thin">
          <color theme="0" tint="-0.14996795556505021"/>
        </vertical>
        <horizontal/>
      </border>
    </dxf>
    <dxf>
      <font>
        <color rgb="FF00B050"/>
      </font>
      <fill>
        <patternFill>
          <bgColor rgb="FF00B050"/>
        </patternFill>
      </fill>
    </dxf>
    <dxf>
      <font>
        <color rgb="FF0070C0"/>
      </font>
      <fill>
        <patternFill>
          <bgColor rgb="FF0070C0"/>
        </patternFill>
      </fill>
    </dxf>
    <dxf>
      <font>
        <b/>
        <i val="0"/>
      </font>
      <fill>
        <patternFill>
          <bgColor rgb="FFFFFF00"/>
        </patternFill>
      </fill>
    </dxf>
    <dxf>
      <font>
        <b val="0"/>
        <i/>
        <color theme="0"/>
      </font>
      <fill>
        <patternFill>
          <bgColor rgb="FFFF0000"/>
        </patternFill>
      </fill>
    </dxf>
    <dxf>
      <font>
        <b val="0"/>
        <i/>
        <color theme="0"/>
      </font>
      <fill>
        <patternFill>
          <bgColor rgb="FFFF0000"/>
        </patternFill>
      </fill>
    </dxf>
    <dxf>
      <font>
        <b val="0"/>
        <i/>
        <color rgb="FF0070C0"/>
      </font>
    </dxf>
    <dxf>
      <font>
        <b val="0"/>
        <i val="0"/>
        <strike/>
        <color rgb="FFFF0000"/>
      </font>
      <fill>
        <patternFill patternType="none">
          <bgColor auto="1"/>
        </patternFill>
      </fill>
    </dxf>
    <dxf>
      <font>
        <color theme="0"/>
      </font>
      <fill>
        <patternFill>
          <bgColor rgb="FFFF0000"/>
        </patternFill>
      </fill>
    </dxf>
    <dxf>
      <fill>
        <patternFill>
          <bgColor rgb="FFC7FFAB"/>
        </patternFill>
      </fill>
    </dxf>
    <dxf>
      <font>
        <color theme="0"/>
      </font>
      <fill>
        <patternFill>
          <bgColor rgb="FF00B0F0"/>
        </patternFill>
      </fill>
    </dxf>
    <dxf>
      <font>
        <b val="0"/>
        <i val="0"/>
        <color theme="0"/>
      </font>
      <fill>
        <patternFill>
          <bgColor rgb="FF00B050"/>
        </patternFill>
      </fill>
    </dxf>
    <dxf>
      <font>
        <color theme="0"/>
      </font>
      <fill>
        <patternFill>
          <bgColor rgb="FFFF0000"/>
        </patternFill>
      </fill>
    </dxf>
    <dxf>
      <font>
        <color theme="0"/>
      </font>
    </dxf>
    <dxf>
      <font>
        <color rgb="FFFFD966"/>
      </font>
    </dxf>
    <dxf>
      <font>
        <b/>
        <i val="0"/>
        <color theme="0"/>
      </font>
      <fill>
        <patternFill>
          <bgColor rgb="FFFF0000"/>
        </patternFill>
      </fill>
    </dxf>
    <dxf>
      <font>
        <b/>
        <i val="0"/>
        <color theme="0"/>
      </font>
      <fill>
        <patternFill>
          <bgColor rgb="FF0070C0"/>
        </patternFill>
      </fill>
      <border>
        <bottom style="thin">
          <color theme="1"/>
        </bottom>
      </border>
    </dxf>
    <dxf>
      <fill>
        <patternFill>
          <bgColor theme="7" tint="0.39994506668294322"/>
        </patternFill>
      </fill>
    </dxf>
    <dxf>
      <fill>
        <patternFill>
          <bgColor rgb="FFFF66FF"/>
        </patternFill>
      </fill>
    </dxf>
    <dxf>
      <fill>
        <patternFill>
          <bgColor rgb="FFA3D8FF"/>
        </patternFill>
      </fill>
    </dxf>
  </dxfs>
  <tableStyles count="0" defaultTableStyle="TableStyleMedium2" defaultPivotStyle="PivotStyleLight16"/>
  <colors>
    <mruColors>
      <color rgb="FFFF66FF"/>
      <color rgb="FF548221"/>
      <color rgb="FFC7FFAB"/>
      <color rgb="FF94FEA1"/>
      <color rgb="FFFFD966"/>
      <color rgb="FFCCEAAC"/>
      <color rgb="FFCBE3BB"/>
      <color rgb="FFC0E399"/>
      <color rgb="FFA3D8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9</xdr:col>
      <xdr:colOff>76200</xdr:colOff>
      <xdr:row>0</xdr:row>
      <xdr:rowOff>47624</xdr:rowOff>
    </xdr:from>
    <xdr:to>
      <xdr:col>9</xdr:col>
      <xdr:colOff>1457325</xdr:colOff>
      <xdr:row>0</xdr:row>
      <xdr:rowOff>266699</xdr:rowOff>
    </xdr:to>
    <xdr:sp macro="'updateLists(1)'" textlink="">
      <xdr:nvSpPr>
        <xdr:cNvPr id="2" name="Rectangle: Beveled 1">
          <a:extLst>
            <a:ext uri="{FF2B5EF4-FFF2-40B4-BE49-F238E27FC236}">
              <a16:creationId xmlns:a16="http://schemas.microsoft.com/office/drawing/2014/main" id="{9A615333-9695-41D3-B17A-C17D5B255335}"/>
            </a:ext>
          </a:extLst>
        </xdr:cNvPr>
        <xdr:cNvSpPr/>
      </xdr:nvSpPr>
      <xdr:spPr>
        <a:xfrm>
          <a:off x="8067675" y="47624"/>
          <a:ext cx="1381125" cy="219075"/>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UPDATE LIST VALUES</a:t>
          </a:r>
        </a:p>
      </xdr:txBody>
    </xdr:sp>
    <xdr:clientData/>
  </xdr:twoCellAnchor>
  <xdr:twoCellAnchor editAs="oneCell">
    <xdr:from>
      <xdr:col>9</xdr:col>
      <xdr:colOff>1928814</xdr:colOff>
      <xdr:row>0</xdr:row>
      <xdr:rowOff>57006</xdr:rowOff>
    </xdr:from>
    <xdr:to>
      <xdr:col>9</xdr:col>
      <xdr:colOff>2778126</xdr:colOff>
      <xdr:row>0</xdr:row>
      <xdr:rowOff>276081</xdr:rowOff>
    </xdr:to>
    <xdr:sp macro="'Explode(1)'" textlink="">
      <xdr:nvSpPr>
        <xdr:cNvPr id="4" name="Rectangle: Beveled 3">
          <a:extLst>
            <a:ext uri="{FF2B5EF4-FFF2-40B4-BE49-F238E27FC236}">
              <a16:creationId xmlns:a16="http://schemas.microsoft.com/office/drawing/2014/main" id="{14C8B6BC-B02E-4B58-AE0B-9F876EE51B7A}"/>
            </a:ext>
          </a:extLst>
        </xdr:cNvPr>
        <xdr:cNvSpPr/>
      </xdr:nvSpPr>
      <xdr:spPr>
        <a:xfrm>
          <a:off x="9990428" y="57006"/>
          <a:ext cx="849312" cy="219075"/>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EXPLODE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76200</xdr:colOff>
      <xdr:row>0</xdr:row>
      <xdr:rowOff>47625</xdr:rowOff>
    </xdr:from>
    <xdr:to>
      <xdr:col>9</xdr:col>
      <xdr:colOff>1457325</xdr:colOff>
      <xdr:row>0</xdr:row>
      <xdr:rowOff>265113</xdr:rowOff>
    </xdr:to>
    <xdr:sp macro="'updateLists(1)'" textlink="">
      <xdr:nvSpPr>
        <xdr:cNvPr id="2" name="Rectangle: Beveled 1">
          <a:extLst>
            <a:ext uri="{FF2B5EF4-FFF2-40B4-BE49-F238E27FC236}">
              <a16:creationId xmlns:a16="http://schemas.microsoft.com/office/drawing/2014/main" id="{FF56F7EA-4CD1-461E-9983-FD5588B4A251}"/>
            </a:ext>
          </a:extLst>
        </xdr:cNvPr>
        <xdr:cNvSpPr/>
      </xdr:nvSpPr>
      <xdr:spPr>
        <a:xfrm>
          <a:off x="8134350" y="47625"/>
          <a:ext cx="1381125" cy="217488"/>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UPDATE LIST VALUES</a:t>
          </a:r>
        </a:p>
      </xdr:txBody>
    </xdr:sp>
    <xdr:clientData/>
  </xdr:twoCellAnchor>
  <xdr:twoCellAnchor editAs="oneCell">
    <xdr:from>
      <xdr:col>9</xdr:col>
      <xdr:colOff>1576389</xdr:colOff>
      <xdr:row>0</xdr:row>
      <xdr:rowOff>49213</xdr:rowOff>
    </xdr:from>
    <xdr:to>
      <xdr:col>9</xdr:col>
      <xdr:colOff>2425701</xdr:colOff>
      <xdr:row>0</xdr:row>
      <xdr:rowOff>266701</xdr:rowOff>
    </xdr:to>
    <xdr:sp macro="'Explode(1)'" textlink="">
      <xdr:nvSpPr>
        <xdr:cNvPr id="4" name="Rectangle: Beveled 3">
          <a:extLst>
            <a:ext uri="{FF2B5EF4-FFF2-40B4-BE49-F238E27FC236}">
              <a16:creationId xmlns:a16="http://schemas.microsoft.com/office/drawing/2014/main" id="{993ECB16-8CB6-453C-95A8-F3B14CC763F6}"/>
            </a:ext>
          </a:extLst>
        </xdr:cNvPr>
        <xdr:cNvSpPr/>
      </xdr:nvSpPr>
      <xdr:spPr>
        <a:xfrm>
          <a:off x="9634539" y="49213"/>
          <a:ext cx="849312" cy="217488"/>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EXPLODE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76200</xdr:colOff>
      <xdr:row>0</xdr:row>
      <xdr:rowOff>47625</xdr:rowOff>
    </xdr:from>
    <xdr:to>
      <xdr:col>9</xdr:col>
      <xdr:colOff>1457325</xdr:colOff>
      <xdr:row>0</xdr:row>
      <xdr:rowOff>266701</xdr:rowOff>
    </xdr:to>
    <xdr:sp macro="'updateLists(1)'" textlink="">
      <xdr:nvSpPr>
        <xdr:cNvPr id="2" name="Rectangle: Beveled 1">
          <a:extLst>
            <a:ext uri="{FF2B5EF4-FFF2-40B4-BE49-F238E27FC236}">
              <a16:creationId xmlns:a16="http://schemas.microsoft.com/office/drawing/2014/main" id="{D1661804-19AE-4DE3-93FD-7290385234E2}"/>
            </a:ext>
          </a:extLst>
        </xdr:cNvPr>
        <xdr:cNvSpPr/>
      </xdr:nvSpPr>
      <xdr:spPr>
        <a:xfrm>
          <a:off x="8134350" y="47625"/>
          <a:ext cx="1381125" cy="219076"/>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UPDATE LIST VALUES</a:t>
          </a:r>
        </a:p>
      </xdr:txBody>
    </xdr:sp>
    <xdr:clientData/>
  </xdr:twoCellAnchor>
  <xdr:twoCellAnchor editAs="oneCell">
    <xdr:from>
      <xdr:col>9</xdr:col>
      <xdr:colOff>1928814</xdr:colOff>
      <xdr:row>0</xdr:row>
      <xdr:rowOff>57006</xdr:rowOff>
    </xdr:from>
    <xdr:to>
      <xdr:col>9</xdr:col>
      <xdr:colOff>2778126</xdr:colOff>
      <xdr:row>0</xdr:row>
      <xdr:rowOff>257175</xdr:rowOff>
    </xdr:to>
    <xdr:sp macro="'Explode(1)'" textlink="">
      <xdr:nvSpPr>
        <xdr:cNvPr id="3" name="Rectangle: Beveled 2">
          <a:extLst>
            <a:ext uri="{FF2B5EF4-FFF2-40B4-BE49-F238E27FC236}">
              <a16:creationId xmlns:a16="http://schemas.microsoft.com/office/drawing/2014/main" id="{D94BB513-F42B-4D04-A982-D220D50F3B60}"/>
            </a:ext>
          </a:extLst>
        </xdr:cNvPr>
        <xdr:cNvSpPr/>
      </xdr:nvSpPr>
      <xdr:spPr>
        <a:xfrm>
          <a:off x="9986964" y="57006"/>
          <a:ext cx="849312" cy="200169"/>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EXPLODE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1114425</xdr:colOff>
      <xdr:row>0</xdr:row>
      <xdr:rowOff>85725</xdr:rowOff>
    </xdr:from>
    <xdr:to>
      <xdr:col>9</xdr:col>
      <xdr:colOff>2495550</xdr:colOff>
      <xdr:row>0</xdr:row>
      <xdr:rowOff>304800</xdr:rowOff>
    </xdr:to>
    <xdr:sp macro="'updateLists(1)'" textlink="">
      <xdr:nvSpPr>
        <xdr:cNvPr id="4" name="Rectangle: Beveled 3">
          <a:extLst>
            <a:ext uri="{FF2B5EF4-FFF2-40B4-BE49-F238E27FC236}">
              <a16:creationId xmlns:a16="http://schemas.microsoft.com/office/drawing/2014/main" id="{555B0EC9-2330-4FD7-9D78-1541D05D6A83}"/>
            </a:ext>
          </a:extLst>
        </xdr:cNvPr>
        <xdr:cNvSpPr/>
      </xdr:nvSpPr>
      <xdr:spPr>
        <a:xfrm>
          <a:off x="9172575" y="85725"/>
          <a:ext cx="1381125" cy="219075"/>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UPDATE LIST VALUES</a:t>
          </a:r>
        </a:p>
      </xdr:txBody>
    </xdr:sp>
    <xdr:clientData/>
  </xdr:twoCellAnchor>
  <xdr:twoCellAnchor editAs="oneCell">
    <xdr:from>
      <xdr:col>10</xdr:col>
      <xdr:colOff>61914</xdr:colOff>
      <xdr:row>0</xdr:row>
      <xdr:rowOff>95107</xdr:rowOff>
    </xdr:from>
    <xdr:to>
      <xdr:col>11</xdr:col>
      <xdr:colOff>15876</xdr:colOff>
      <xdr:row>0</xdr:row>
      <xdr:rowOff>314182</xdr:rowOff>
    </xdr:to>
    <xdr:sp macro="'Explode(1)'" textlink="">
      <xdr:nvSpPr>
        <xdr:cNvPr id="5" name="Rectangle: Beveled 4">
          <a:extLst>
            <a:ext uri="{FF2B5EF4-FFF2-40B4-BE49-F238E27FC236}">
              <a16:creationId xmlns:a16="http://schemas.microsoft.com/office/drawing/2014/main" id="{DFA08163-8AAA-40EA-BCD7-BB48C39633DE}"/>
            </a:ext>
          </a:extLst>
        </xdr:cNvPr>
        <xdr:cNvSpPr/>
      </xdr:nvSpPr>
      <xdr:spPr>
        <a:xfrm>
          <a:off x="11025189" y="95107"/>
          <a:ext cx="849312" cy="219075"/>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EXPLODE</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76200</xdr:colOff>
      <xdr:row>0</xdr:row>
      <xdr:rowOff>47625</xdr:rowOff>
    </xdr:from>
    <xdr:to>
      <xdr:col>9</xdr:col>
      <xdr:colOff>1457325</xdr:colOff>
      <xdr:row>0</xdr:row>
      <xdr:rowOff>304800</xdr:rowOff>
    </xdr:to>
    <xdr:sp macro="'updateLists(1)'" textlink="">
      <xdr:nvSpPr>
        <xdr:cNvPr id="2" name="Rectangle: Beveled 1">
          <a:extLst>
            <a:ext uri="{FF2B5EF4-FFF2-40B4-BE49-F238E27FC236}">
              <a16:creationId xmlns:a16="http://schemas.microsoft.com/office/drawing/2014/main" id="{87C2BDFF-A8B7-4643-96BB-8EA1465692EA}"/>
            </a:ext>
          </a:extLst>
        </xdr:cNvPr>
        <xdr:cNvSpPr/>
      </xdr:nvSpPr>
      <xdr:spPr>
        <a:xfrm>
          <a:off x="8134350" y="47625"/>
          <a:ext cx="1381125" cy="257175"/>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UPDATE LIST VALUES</a:t>
          </a:r>
        </a:p>
      </xdr:txBody>
    </xdr:sp>
    <xdr:clientData/>
  </xdr:twoCellAnchor>
  <xdr:twoCellAnchor editAs="oneCell">
    <xdr:from>
      <xdr:col>9</xdr:col>
      <xdr:colOff>1928814</xdr:colOff>
      <xdr:row>0</xdr:row>
      <xdr:rowOff>49213</xdr:rowOff>
    </xdr:from>
    <xdr:to>
      <xdr:col>9</xdr:col>
      <xdr:colOff>2778126</xdr:colOff>
      <xdr:row>0</xdr:row>
      <xdr:rowOff>276225</xdr:rowOff>
    </xdr:to>
    <xdr:sp macro="'Explode(1)'" textlink="">
      <xdr:nvSpPr>
        <xdr:cNvPr id="3" name="Rectangle: Beveled 2">
          <a:extLst>
            <a:ext uri="{FF2B5EF4-FFF2-40B4-BE49-F238E27FC236}">
              <a16:creationId xmlns:a16="http://schemas.microsoft.com/office/drawing/2014/main" id="{14E7D24F-046A-4E27-9B76-41D2AEF590E8}"/>
            </a:ext>
          </a:extLst>
        </xdr:cNvPr>
        <xdr:cNvSpPr/>
      </xdr:nvSpPr>
      <xdr:spPr>
        <a:xfrm>
          <a:off x="9986964" y="49213"/>
          <a:ext cx="849312" cy="227012"/>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EXPLODE</a:t>
          </a:r>
        </a:p>
      </xdr:txBody>
    </xdr:sp>
    <xdr:clientData/>
  </xdr:twoCellAnchor>
  <xdr:twoCellAnchor>
    <xdr:from>
      <xdr:col>20</xdr:col>
      <xdr:colOff>647700</xdr:colOff>
      <xdr:row>20</xdr:row>
      <xdr:rowOff>0</xdr:rowOff>
    </xdr:from>
    <xdr:to>
      <xdr:col>20</xdr:col>
      <xdr:colOff>3333750</xdr:colOff>
      <xdr:row>31</xdr:row>
      <xdr:rowOff>76200</xdr:rowOff>
    </xdr:to>
    <xdr:sp macro="" textlink="">
      <xdr:nvSpPr>
        <xdr:cNvPr id="4" name="TextBox 3">
          <a:extLst>
            <a:ext uri="{FF2B5EF4-FFF2-40B4-BE49-F238E27FC236}">
              <a16:creationId xmlns:a16="http://schemas.microsoft.com/office/drawing/2014/main" id="{7A2AED3D-C040-4C46-B61F-CECBE18BF1F9}"/>
            </a:ext>
          </a:extLst>
        </xdr:cNvPr>
        <xdr:cNvSpPr txBox="1"/>
      </xdr:nvSpPr>
      <xdr:spPr>
        <a:xfrm>
          <a:off x="12877800" y="4000500"/>
          <a:ext cx="2686050" cy="1790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Custom</a:t>
          </a:r>
          <a:r>
            <a:rPr lang="en-GB" sz="1100" baseline="0"/>
            <a:t> fields in responses?  David</a:t>
          </a:r>
          <a:endParaRPr lang="en-GB" sz="1100" b="0" i="0" u="none" strike="noStrike" baseline="0">
            <a:solidFill>
              <a:schemeClr val="dk1"/>
            </a:solidFill>
            <a:effectLst/>
            <a:latin typeface="+mn-lt"/>
            <a:ea typeface="+mn-ea"/>
            <a:cs typeface="+mn-cs"/>
          </a:endParaRPr>
        </a:p>
        <a:p>
          <a:r>
            <a:rPr lang="en-GB" sz="1100" b="0" i="0" u="none" strike="noStrike" baseline="0">
              <a:solidFill>
                <a:schemeClr val="dk1"/>
              </a:solidFill>
              <a:effectLst/>
              <a:latin typeface="+mn-lt"/>
              <a:ea typeface="+mn-ea"/>
              <a:cs typeface="+mn-cs"/>
            </a:rPr>
            <a:t>Eg.. serial number of items at goodsin</a:t>
          </a:r>
        </a:p>
        <a:p>
          <a:endParaRPr lang="en-GB" sz="1100" b="0" i="0" u="none" strike="noStrike" baseline="0">
            <a:solidFill>
              <a:schemeClr val="dk1"/>
            </a:solidFill>
            <a:effectLst/>
            <a:latin typeface="+mn-lt"/>
            <a:ea typeface="+mn-ea"/>
            <a:cs typeface="+mn-cs"/>
          </a:endParaRPr>
        </a:p>
        <a:p>
          <a:r>
            <a:rPr lang="en-GB" sz="1100" b="0" i="0" u="none" strike="noStrike" baseline="0">
              <a:solidFill>
                <a:schemeClr val="dk1"/>
              </a:solidFill>
              <a:effectLst/>
              <a:latin typeface="+mn-lt"/>
              <a:ea typeface="+mn-ea"/>
              <a:cs typeface="+mn-cs"/>
            </a:rPr>
            <a:t>Most field types and values here as as returned from the WMS so data types could mostly be long strings except where specifically Decimal, Integer, Date or DateTIme</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76200</xdr:colOff>
      <xdr:row>0</xdr:row>
      <xdr:rowOff>47625</xdr:rowOff>
    </xdr:from>
    <xdr:to>
      <xdr:col>9</xdr:col>
      <xdr:colOff>1457325</xdr:colOff>
      <xdr:row>0</xdr:row>
      <xdr:rowOff>284163</xdr:rowOff>
    </xdr:to>
    <xdr:sp macro="'updateLists(1)'" textlink="">
      <xdr:nvSpPr>
        <xdr:cNvPr id="2" name="Rectangle: Beveled 1">
          <a:extLst>
            <a:ext uri="{FF2B5EF4-FFF2-40B4-BE49-F238E27FC236}">
              <a16:creationId xmlns:a16="http://schemas.microsoft.com/office/drawing/2014/main" id="{23596CFA-C11A-460D-AD96-4F89E3633C04}"/>
            </a:ext>
          </a:extLst>
        </xdr:cNvPr>
        <xdr:cNvSpPr/>
      </xdr:nvSpPr>
      <xdr:spPr>
        <a:xfrm>
          <a:off x="8134350" y="47625"/>
          <a:ext cx="1381125" cy="236538"/>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UPDATE LIST VALUES</a:t>
          </a:r>
        </a:p>
      </xdr:txBody>
    </xdr:sp>
    <xdr:clientData/>
  </xdr:twoCellAnchor>
  <xdr:twoCellAnchor editAs="oneCell">
    <xdr:from>
      <xdr:col>9</xdr:col>
      <xdr:colOff>1928814</xdr:colOff>
      <xdr:row>0</xdr:row>
      <xdr:rowOff>49213</xdr:rowOff>
    </xdr:from>
    <xdr:to>
      <xdr:col>9</xdr:col>
      <xdr:colOff>2778126</xdr:colOff>
      <xdr:row>0</xdr:row>
      <xdr:rowOff>285751</xdr:rowOff>
    </xdr:to>
    <xdr:sp macro="'Explode(1)'" textlink="">
      <xdr:nvSpPr>
        <xdr:cNvPr id="4" name="Rectangle: Beveled 3">
          <a:extLst>
            <a:ext uri="{FF2B5EF4-FFF2-40B4-BE49-F238E27FC236}">
              <a16:creationId xmlns:a16="http://schemas.microsoft.com/office/drawing/2014/main" id="{50C50BE5-0252-4A4D-BE9C-1C58A101448D}"/>
            </a:ext>
          </a:extLst>
        </xdr:cNvPr>
        <xdr:cNvSpPr/>
      </xdr:nvSpPr>
      <xdr:spPr>
        <a:xfrm>
          <a:off x="9986964" y="49213"/>
          <a:ext cx="849312" cy="236538"/>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EXPLODE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76200</xdr:colOff>
      <xdr:row>0</xdr:row>
      <xdr:rowOff>47624</xdr:rowOff>
    </xdr:from>
    <xdr:to>
      <xdr:col>9</xdr:col>
      <xdr:colOff>1457325</xdr:colOff>
      <xdr:row>0</xdr:row>
      <xdr:rowOff>276225</xdr:rowOff>
    </xdr:to>
    <xdr:sp macro="'updateLists(1)'" textlink="">
      <xdr:nvSpPr>
        <xdr:cNvPr id="2" name="Rectangle: Beveled 1">
          <a:extLst>
            <a:ext uri="{FF2B5EF4-FFF2-40B4-BE49-F238E27FC236}">
              <a16:creationId xmlns:a16="http://schemas.microsoft.com/office/drawing/2014/main" id="{F0CC9878-FA04-4652-AFA0-43C853500675}"/>
            </a:ext>
          </a:extLst>
        </xdr:cNvPr>
        <xdr:cNvSpPr/>
      </xdr:nvSpPr>
      <xdr:spPr>
        <a:xfrm>
          <a:off x="8134350" y="47624"/>
          <a:ext cx="1381125" cy="228601"/>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UPDATE LIST VALUES</a:t>
          </a:r>
        </a:p>
      </xdr:txBody>
    </xdr:sp>
    <xdr:clientData/>
  </xdr:twoCellAnchor>
  <xdr:twoCellAnchor editAs="oneCell">
    <xdr:from>
      <xdr:col>9</xdr:col>
      <xdr:colOff>1795464</xdr:colOff>
      <xdr:row>0</xdr:row>
      <xdr:rowOff>30162</xdr:rowOff>
    </xdr:from>
    <xdr:to>
      <xdr:col>9</xdr:col>
      <xdr:colOff>2644776</xdr:colOff>
      <xdr:row>0</xdr:row>
      <xdr:rowOff>258763</xdr:rowOff>
    </xdr:to>
    <xdr:sp macro="'Explode(1)'" textlink="">
      <xdr:nvSpPr>
        <xdr:cNvPr id="4" name="Rectangle: Beveled 3">
          <a:extLst>
            <a:ext uri="{FF2B5EF4-FFF2-40B4-BE49-F238E27FC236}">
              <a16:creationId xmlns:a16="http://schemas.microsoft.com/office/drawing/2014/main" id="{D2517843-F6AE-4F20-8131-44F0E201CC25}"/>
            </a:ext>
          </a:extLst>
        </xdr:cNvPr>
        <xdr:cNvSpPr/>
      </xdr:nvSpPr>
      <xdr:spPr>
        <a:xfrm>
          <a:off x="9853614" y="30162"/>
          <a:ext cx="849312" cy="228601"/>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EXPLODE</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76200</xdr:colOff>
      <xdr:row>0</xdr:row>
      <xdr:rowOff>47625</xdr:rowOff>
    </xdr:from>
    <xdr:to>
      <xdr:col>9</xdr:col>
      <xdr:colOff>1457325</xdr:colOff>
      <xdr:row>0</xdr:row>
      <xdr:rowOff>295275</xdr:rowOff>
    </xdr:to>
    <xdr:sp macro="'updateLists(1)'" textlink="">
      <xdr:nvSpPr>
        <xdr:cNvPr id="2" name="Rectangle: Beveled 1">
          <a:extLst>
            <a:ext uri="{FF2B5EF4-FFF2-40B4-BE49-F238E27FC236}">
              <a16:creationId xmlns:a16="http://schemas.microsoft.com/office/drawing/2014/main" id="{6E143D41-0AEF-4044-8A92-384726E052D6}"/>
            </a:ext>
          </a:extLst>
        </xdr:cNvPr>
        <xdr:cNvSpPr/>
      </xdr:nvSpPr>
      <xdr:spPr>
        <a:xfrm>
          <a:off x="8067675" y="47625"/>
          <a:ext cx="1381125" cy="171450"/>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1"/>
            <a:t>UPDATE LIST VALUES</a:t>
          </a:r>
        </a:p>
      </xdr:txBody>
    </xdr:sp>
    <xdr:clientData/>
  </xdr:twoCellAnchor>
  <xdr:twoCellAnchor editAs="oneCell">
    <xdr:from>
      <xdr:col>8</xdr:col>
      <xdr:colOff>2814205</xdr:colOff>
      <xdr:row>0</xdr:row>
      <xdr:rowOff>69273</xdr:rowOff>
    </xdr:from>
    <xdr:to>
      <xdr:col>8</xdr:col>
      <xdr:colOff>3663517</xdr:colOff>
      <xdr:row>0</xdr:row>
      <xdr:rowOff>297874</xdr:rowOff>
    </xdr:to>
    <xdr:sp macro="'Explode(1)'" textlink="">
      <xdr:nvSpPr>
        <xdr:cNvPr id="7" name="Rectangle: Beveled 6">
          <a:extLst>
            <a:ext uri="{FF2B5EF4-FFF2-40B4-BE49-F238E27FC236}">
              <a16:creationId xmlns:a16="http://schemas.microsoft.com/office/drawing/2014/main" id="{7385C324-6513-4D2F-971E-C32EED3848FB}"/>
            </a:ext>
          </a:extLst>
        </xdr:cNvPr>
        <xdr:cNvSpPr/>
      </xdr:nvSpPr>
      <xdr:spPr>
        <a:xfrm>
          <a:off x="7091796" y="69273"/>
          <a:ext cx="849312" cy="228601"/>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EXPLODE</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47625</xdr:colOff>
      <xdr:row>0</xdr:row>
      <xdr:rowOff>28575</xdr:rowOff>
    </xdr:from>
    <xdr:to>
      <xdr:col>10</xdr:col>
      <xdr:colOff>1428750</xdr:colOff>
      <xdr:row>0</xdr:row>
      <xdr:rowOff>247650</xdr:rowOff>
    </xdr:to>
    <xdr:sp macro="'updateLists(1)'" textlink="">
      <xdr:nvSpPr>
        <xdr:cNvPr id="2" name="Rectangle: Beveled 1">
          <a:extLst>
            <a:ext uri="{FF2B5EF4-FFF2-40B4-BE49-F238E27FC236}">
              <a16:creationId xmlns:a16="http://schemas.microsoft.com/office/drawing/2014/main" id="{13E2EC9D-E3F7-4609-8F40-C0938248DA96}"/>
            </a:ext>
          </a:extLst>
        </xdr:cNvPr>
        <xdr:cNvSpPr/>
      </xdr:nvSpPr>
      <xdr:spPr>
        <a:xfrm>
          <a:off x="9086850" y="28575"/>
          <a:ext cx="1381125" cy="219075"/>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1"/>
            <a:t>UPDATE LIST VALUES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209551</xdr:colOff>
      <xdr:row>2</xdr:row>
      <xdr:rowOff>30773</xdr:rowOff>
    </xdr:from>
    <xdr:to>
      <xdr:col>14</xdr:col>
      <xdr:colOff>402982</xdr:colOff>
      <xdr:row>12</xdr:row>
      <xdr:rowOff>36635</xdr:rowOff>
    </xdr:to>
    <xdr:sp macro="" textlink="">
      <xdr:nvSpPr>
        <xdr:cNvPr id="2" name="TextBox 1">
          <a:extLst>
            <a:ext uri="{FF2B5EF4-FFF2-40B4-BE49-F238E27FC236}">
              <a16:creationId xmlns:a16="http://schemas.microsoft.com/office/drawing/2014/main" id="{CD223081-6023-4295-8388-C08CDDBF36A3}"/>
            </a:ext>
          </a:extLst>
        </xdr:cNvPr>
        <xdr:cNvSpPr txBox="1"/>
      </xdr:nvSpPr>
      <xdr:spPr>
        <a:xfrm>
          <a:off x="11712820" y="411773"/>
          <a:ext cx="3234104" cy="19108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This</a:t>
          </a:r>
          <a:r>
            <a:rPr lang="en-GB" sz="900" baseline="0"/>
            <a:t> is used to show options for fields that contain fixed values from a list.  </a:t>
          </a:r>
        </a:p>
        <a:p>
          <a:r>
            <a:rPr lang="en-GB" sz="900" baseline="0"/>
            <a:t>Context and Field are used as a lookup from the main definition table for fields that show 'List' as the validation.</a:t>
          </a:r>
        </a:p>
        <a:p>
          <a:r>
            <a:rPr lang="en-GB" sz="900" baseline="0"/>
            <a:t>Context is either ALL (If field used in multiple interfaces) or a specific context.   The specific context is checked first.</a:t>
          </a:r>
        </a:p>
        <a:p>
          <a:r>
            <a:rPr lang="en-GB" sz="900" baseline="0"/>
            <a:t>Within the field definitions 'LIST' is an enumerated value list for which the 'Generic' values are used in validation,.</a:t>
          </a:r>
        </a:p>
        <a:p>
          <a:r>
            <a:rPr lang="en-GB" sz="900" baseline="0"/>
            <a:t>'CLIST' is a customer specific list of expected values.  These are NOT validated by the API</a:t>
          </a:r>
        </a:p>
        <a:p>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180975</xdr:colOff>
      <xdr:row>0</xdr:row>
      <xdr:rowOff>104775</xdr:rowOff>
    </xdr:from>
    <xdr:to>
      <xdr:col>5</xdr:col>
      <xdr:colOff>171449</xdr:colOff>
      <xdr:row>0</xdr:row>
      <xdr:rowOff>323851</xdr:rowOff>
    </xdr:to>
    <xdr:sp macro="'GoBack(1)'" textlink="">
      <xdr:nvSpPr>
        <xdr:cNvPr id="2" name="Rectangle: Beveled 1">
          <a:extLst>
            <a:ext uri="{FF2B5EF4-FFF2-40B4-BE49-F238E27FC236}">
              <a16:creationId xmlns:a16="http://schemas.microsoft.com/office/drawing/2014/main" id="{2D58569B-EA4E-457C-B080-6648479FE7B0}"/>
            </a:ext>
          </a:extLst>
        </xdr:cNvPr>
        <xdr:cNvSpPr/>
      </xdr:nvSpPr>
      <xdr:spPr>
        <a:xfrm>
          <a:off x="7229475" y="104775"/>
          <a:ext cx="600074" cy="219076"/>
        </a:xfrm>
        <a:prstGeom prst="bevel">
          <a:avLst/>
        </a:prstGeom>
        <a:solidFill>
          <a:srgbClr val="0070C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200" b="0"/>
            <a:t>Back</a:t>
          </a:r>
        </a:p>
      </xdr:txBody>
    </xdr:sp>
    <xdr:clientData/>
  </xdr:twoCellAnchor>
  <xdr:twoCellAnchor editAs="oneCell">
    <xdr:from>
      <xdr:col>1</xdr:col>
      <xdr:colOff>171450</xdr:colOff>
      <xdr:row>0</xdr:row>
      <xdr:rowOff>66674</xdr:rowOff>
    </xdr:from>
    <xdr:to>
      <xdr:col>1</xdr:col>
      <xdr:colOff>1800225</xdr:colOff>
      <xdr:row>0</xdr:row>
      <xdr:rowOff>342899</xdr:rowOff>
    </xdr:to>
    <xdr:sp macro="'SaveXmlJSON(1)'" textlink="">
      <xdr:nvSpPr>
        <xdr:cNvPr id="3" name="Rectangle: Beveled 2">
          <a:extLst>
            <a:ext uri="{FF2B5EF4-FFF2-40B4-BE49-F238E27FC236}">
              <a16:creationId xmlns:a16="http://schemas.microsoft.com/office/drawing/2014/main" id="{EA0071C8-BC9A-4101-B710-943714BFBDFB}"/>
            </a:ext>
          </a:extLst>
        </xdr:cNvPr>
        <xdr:cNvSpPr/>
      </xdr:nvSpPr>
      <xdr:spPr>
        <a:xfrm>
          <a:off x="5391150" y="66674"/>
          <a:ext cx="1628775" cy="276225"/>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200" b="0"/>
            <a:t>Save as</a:t>
          </a:r>
          <a:r>
            <a:rPr lang="en-GB" sz="1200" b="0" baseline="0"/>
            <a:t> JSON File</a:t>
          </a:r>
          <a:endParaRPr lang="en-GB" sz="1200" b="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95250</xdr:colOff>
      <xdr:row>1</xdr:row>
      <xdr:rowOff>171450</xdr:rowOff>
    </xdr:from>
    <xdr:to>
      <xdr:col>14</xdr:col>
      <xdr:colOff>333375</xdr:colOff>
      <xdr:row>3</xdr:row>
      <xdr:rowOff>47625</xdr:rowOff>
    </xdr:to>
    <xdr:sp macro="'LookupField(1)'" textlink="">
      <xdr:nvSpPr>
        <xdr:cNvPr id="2" name="Rectangle: Beveled 1">
          <a:extLst>
            <a:ext uri="{FF2B5EF4-FFF2-40B4-BE49-F238E27FC236}">
              <a16:creationId xmlns:a16="http://schemas.microsoft.com/office/drawing/2014/main" id="{C5969B66-9217-4901-BB3F-01DD5334EF5E}"/>
            </a:ext>
          </a:extLst>
        </xdr:cNvPr>
        <xdr:cNvSpPr/>
      </xdr:nvSpPr>
      <xdr:spPr>
        <a:xfrm>
          <a:off x="8486775" y="361950"/>
          <a:ext cx="847725" cy="25717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2743200</xdr:colOff>
      <xdr:row>21</xdr:row>
      <xdr:rowOff>95250</xdr:rowOff>
    </xdr:from>
    <xdr:to>
      <xdr:col>16</xdr:col>
      <xdr:colOff>723900</xdr:colOff>
      <xdr:row>26</xdr:row>
      <xdr:rowOff>171450</xdr:rowOff>
    </xdr:to>
    <xdr:sp macro="" textlink="">
      <xdr:nvSpPr>
        <xdr:cNvPr id="3" name="TextBox 2">
          <a:extLst>
            <a:ext uri="{FF2B5EF4-FFF2-40B4-BE49-F238E27FC236}">
              <a16:creationId xmlns:a16="http://schemas.microsoft.com/office/drawing/2014/main" id="{C5C2BE06-2F98-45E3-A9D8-F253C5782F26}"/>
            </a:ext>
          </a:extLst>
        </xdr:cNvPr>
        <xdr:cNvSpPr txBox="1"/>
      </xdr:nvSpPr>
      <xdr:spPr>
        <a:xfrm>
          <a:off x="10306050" y="4095750"/>
          <a:ext cx="4162425" cy="1028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Remove Index,  check if</a:t>
          </a:r>
          <a:r>
            <a:rPr lang="en-GB" sz="1100" baseline="0"/>
            <a:t> we can add specific entries for specific fields within a given context.</a:t>
          </a:r>
        </a:p>
        <a:p>
          <a:r>
            <a:rPr lang="en-GB" sz="1100" baseline="0"/>
            <a:t>Also if we change ADDRESS to be ONLY a ref.  How do we show the first one has to be SHIPTO?   Perhaps include this in the sample field on the calling entry?</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552450</xdr:colOff>
      <xdr:row>4</xdr:row>
      <xdr:rowOff>76200</xdr:rowOff>
    </xdr:from>
    <xdr:to>
      <xdr:col>6</xdr:col>
      <xdr:colOff>133350</xdr:colOff>
      <xdr:row>6</xdr:row>
      <xdr:rowOff>19050</xdr:rowOff>
    </xdr:to>
    <xdr:sp macro="'SaveXmlJSON(1)'" textlink="">
      <xdr:nvSpPr>
        <xdr:cNvPr id="6" name="Rectangle: Beveled 5">
          <a:extLst>
            <a:ext uri="{FF2B5EF4-FFF2-40B4-BE49-F238E27FC236}">
              <a16:creationId xmlns:a16="http://schemas.microsoft.com/office/drawing/2014/main" id="{DEA4654B-9ABE-49D8-B66D-AC56BF4DE9BB}"/>
            </a:ext>
          </a:extLst>
        </xdr:cNvPr>
        <xdr:cNvSpPr/>
      </xdr:nvSpPr>
      <xdr:spPr>
        <a:xfrm>
          <a:off x="9286875" y="942975"/>
          <a:ext cx="1628775" cy="323850"/>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200" b="0"/>
            <a:t>Save as</a:t>
          </a:r>
          <a:r>
            <a:rPr lang="en-GB" sz="1200" b="0" baseline="0"/>
            <a:t> XML File</a:t>
          </a:r>
          <a:endParaRPr lang="en-GB" sz="1200" b="0"/>
        </a:p>
      </xdr:txBody>
    </xdr:sp>
    <xdr:clientData/>
  </xdr:twoCellAnchor>
  <xdr:twoCellAnchor editAs="oneCell">
    <xdr:from>
      <xdr:col>5</xdr:col>
      <xdr:colOff>180976</xdr:colOff>
      <xdr:row>2</xdr:row>
      <xdr:rowOff>76199</xdr:rowOff>
    </xdr:from>
    <xdr:to>
      <xdr:col>5</xdr:col>
      <xdr:colOff>781050</xdr:colOff>
      <xdr:row>3</xdr:row>
      <xdr:rowOff>104775</xdr:rowOff>
    </xdr:to>
    <xdr:sp macro="'GoBack(1)'" textlink="">
      <xdr:nvSpPr>
        <xdr:cNvPr id="7" name="Rectangle: Beveled 6">
          <a:extLst>
            <a:ext uri="{FF2B5EF4-FFF2-40B4-BE49-F238E27FC236}">
              <a16:creationId xmlns:a16="http://schemas.microsoft.com/office/drawing/2014/main" id="{67F00D2F-57A8-433B-B6A8-E2887EC77688}"/>
            </a:ext>
          </a:extLst>
        </xdr:cNvPr>
        <xdr:cNvSpPr/>
      </xdr:nvSpPr>
      <xdr:spPr>
        <a:xfrm>
          <a:off x="9934576" y="561974"/>
          <a:ext cx="600074" cy="219076"/>
        </a:xfrm>
        <a:prstGeom prst="bevel">
          <a:avLst/>
        </a:prstGeom>
        <a:solidFill>
          <a:srgbClr val="0070C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200" b="0"/>
            <a:t>Back</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20</xdr:col>
      <xdr:colOff>857250</xdr:colOff>
      <xdr:row>0</xdr:row>
      <xdr:rowOff>66675</xdr:rowOff>
    </xdr:from>
    <xdr:to>
      <xdr:col>20</xdr:col>
      <xdr:colOff>1706562</xdr:colOff>
      <xdr:row>0</xdr:row>
      <xdr:rowOff>314325</xdr:rowOff>
    </xdr:to>
    <xdr:sp macro="'SaveExploded(1)'" textlink="">
      <xdr:nvSpPr>
        <xdr:cNvPr id="2" name="ExpButt">
          <a:extLst>
            <a:ext uri="{FF2B5EF4-FFF2-40B4-BE49-F238E27FC236}">
              <a16:creationId xmlns:a16="http://schemas.microsoft.com/office/drawing/2014/main" id="{30937B9B-98B3-4582-AE17-9F2A691A8C98}"/>
            </a:ext>
          </a:extLst>
        </xdr:cNvPr>
        <xdr:cNvSpPr/>
      </xdr:nvSpPr>
      <xdr:spPr>
        <a:xfrm>
          <a:off x="14373225" y="66675"/>
          <a:ext cx="849312" cy="247650"/>
        </a:xfrm>
        <a:prstGeom prst="bevel">
          <a:avLst/>
        </a:prstGeom>
        <a:solidFill>
          <a:srgbClr val="54822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EXPORT</a:t>
          </a:r>
        </a:p>
      </xdr:txBody>
    </xdr:sp>
    <xdr:clientData/>
  </xdr:twoCellAnchor>
  <xdr:twoCellAnchor editAs="oneCell">
    <xdr:from>
      <xdr:col>20</xdr:col>
      <xdr:colOff>85725</xdr:colOff>
      <xdr:row>0</xdr:row>
      <xdr:rowOff>85725</xdr:rowOff>
    </xdr:from>
    <xdr:to>
      <xdr:col>20</xdr:col>
      <xdr:colOff>685799</xdr:colOff>
      <xdr:row>0</xdr:row>
      <xdr:rowOff>304801</xdr:rowOff>
    </xdr:to>
    <xdr:sp macro="'GoBack(1)'" textlink="">
      <xdr:nvSpPr>
        <xdr:cNvPr id="3" name="BackButt">
          <a:extLst>
            <a:ext uri="{FF2B5EF4-FFF2-40B4-BE49-F238E27FC236}">
              <a16:creationId xmlns:a16="http://schemas.microsoft.com/office/drawing/2014/main" id="{73B445FF-6497-4CD1-B704-EDF2B9E466CE}"/>
            </a:ext>
          </a:extLst>
        </xdr:cNvPr>
        <xdr:cNvSpPr/>
      </xdr:nvSpPr>
      <xdr:spPr>
        <a:xfrm>
          <a:off x="13601700" y="85725"/>
          <a:ext cx="600074" cy="219076"/>
        </a:xfrm>
        <a:prstGeom prst="bevel">
          <a:avLst/>
        </a:prstGeom>
        <a:solidFill>
          <a:srgbClr val="0070C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200" b="0"/>
            <a:t>Back</a:t>
          </a:r>
        </a:p>
      </xdr:txBody>
    </xdr:sp>
    <xdr:clientData/>
  </xdr:twoCellAnchor>
  <xdr:twoCellAnchor editAs="oneCell">
    <xdr:from>
      <xdr:col>9</xdr:col>
      <xdr:colOff>371475</xdr:colOff>
      <xdr:row>0</xdr:row>
      <xdr:rowOff>66675</xdr:rowOff>
    </xdr:from>
    <xdr:to>
      <xdr:col>9</xdr:col>
      <xdr:colOff>1752600</xdr:colOff>
      <xdr:row>0</xdr:row>
      <xdr:rowOff>295275</xdr:rowOff>
    </xdr:to>
    <xdr:sp macro="'updateLists(1)'" textlink="">
      <xdr:nvSpPr>
        <xdr:cNvPr id="4" name="UpdList">
          <a:extLst>
            <a:ext uri="{FF2B5EF4-FFF2-40B4-BE49-F238E27FC236}">
              <a16:creationId xmlns:a16="http://schemas.microsoft.com/office/drawing/2014/main" id="{E1FEC35D-DF1F-47D9-84C8-CCB1CA1AE735}"/>
            </a:ext>
          </a:extLst>
        </xdr:cNvPr>
        <xdr:cNvSpPr/>
      </xdr:nvSpPr>
      <xdr:spPr>
        <a:xfrm>
          <a:off x="8696325" y="66675"/>
          <a:ext cx="1381125" cy="228600"/>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UPDATE LIST VALUES</a:t>
          </a:r>
        </a:p>
      </xdr:txBody>
    </xdr:sp>
    <xdr:clientData/>
  </xdr:twoCellAnchor>
  <xdr:twoCellAnchor editAs="oneCell">
    <xdr:from>
      <xdr:col>20</xdr:col>
      <xdr:colOff>1962150</xdr:colOff>
      <xdr:row>0</xdr:row>
      <xdr:rowOff>47624</xdr:rowOff>
    </xdr:from>
    <xdr:to>
      <xdr:col>20</xdr:col>
      <xdr:colOff>3076575</xdr:colOff>
      <xdr:row>0</xdr:row>
      <xdr:rowOff>323849</xdr:rowOff>
    </xdr:to>
    <xdr:sp macro="[0]!ExpJSON" textlink="">
      <xdr:nvSpPr>
        <xdr:cNvPr id="5" name="GenJson">
          <a:extLst>
            <a:ext uri="{FF2B5EF4-FFF2-40B4-BE49-F238E27FC236}">
              <a16:creationId xmlns:a16="http://schemas.microsoft.com/office/drawing/2014/main" id="{6D25D486-5271-4DD1-A040-5758927F5B50}"/>
            </a:ext>
          </a:extLst>
        </xdr:cNvPr>
        <xdr:cNvSpPr/>
      </xdr:nvSpPr>
      <xdr:spPr>
        <a:xfrm>
          <a:off x="15478125" y="47624"/>
          <a:ext cx="1114425" cy="276225"/>
        </a:xfrm>
        <a:prstGeom prst="bevel">
          <a:avLst/>
        </a:prstGeom>
        <a:solidFill>
          <a:srgbClr val="7030A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Generate</a:t>
          </a:r>
          <a:r>
            <a:rPr lang="en-GB" sz="1000" b="0" baseline="0"/>
            <a:t> JSON</a:t>
          </a:r>
          <a:endParaRPr lang="en-GB" sz="1000" b="0"/>
        </a:p>
      </xdr:txBody>
    </xdr:sp>
    <xdr:clientData/>
  </xdr:twoCellAnchor>
  <xdr:twoCellAnchor editAs="oneCell">
    <xdr:from>
      <xdr:col>10</xdr:col>
      <xdr:colOff>133350</xdr:colOff>
      <xdr:row>0</xdr:row>
      <xdr:rowOff>66676</xdr:rowOff>
    </xdr:from>
    <xdr:to>
      <xdr:col>10</xdr:col>
      <xdr:colOff>1514475</xdr:colOff>
      <xdr:row>0</xdr:row>
      <xdr:rowOff>314326</xdr:rowOff>
    </xdr:to>
    <xdr:sp macro="'updateLists(2)'" textlink="">
      <xdr:nvSpPr>
        <xdr:cNvPr id="6" name="TList">
          <a:extLst>
            <a:ext uri="{FF2B5EF4-FFF2-40B4-BE49-F238E27FC236}">
              <a16:creationId xmlns:a16="http://schemas.microsoft.com/office/drawing/2014/main" id="{497B96C7-2DF5-4FC2-830E-1360123A2F0D}"/>
            </a:ext>
          </a:extLst>
        </xdr:cNvPr>
        <xdr:cNvSpPr/>
      </xdr:nvSpPr>
      <xdr:spPr>
        <a:xfrm>
          <a:off x="11658600" y="66676"/>
          <a:ext cx="1381125" cy="247650"/>
        </a:xfrm>
        <a:prstGeom prst="bevel">
          <a:avLst/>
        </a:prstGeom>
        <a:solidFill>
          <a:srgbClr val="00B0F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ctr"/>
          <a:r>
            <a:rPr lang="en-GB" sz="1000" b="0"/>
            <a:t>Toggle</a:t>
          </a:r>
          <a:r>
            <a:rPr lang="en-GB" sz="1000" b="0" baseline="0"/>
            <a:t> List Type</a:t>
          </a:r>
          <a:endParaRPr lang="en-GB" sz="1000" b="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238125</xdr:colOff>
      <xdr:row>1</xdr:row>
      <xdr:rowOff>104773</xdr:rowOff>
    </xdr:from>
    <xdr:to>
      <xdr:col>18</xdr:col>
      <xdr:colOff>438150</xdr:colOff>
      <xdr:row>33</xdr:row>
      <xdr:rowOff>66674</xdr:rowOff>
    </xdr:to>
    <xdr:sp macro="" textlink="">
      <xdr:nvSpPr>
        <xdr:cNvPr id="3" name="TextBox 2">
          <a:extLst>
            <a:ext uri="{FF2B5EF4-FFF2-40B4-BE49-F238E27FC236}">
              <a16:creationId xmlns:a16="http://schemas.microsoft.com/office/drawing/2014/main" id="{61D47083-EBDD-43DF-B356-0170FDA9B206}"/>
            </a:ext>
          </a:extLst>
        </xdr:cNvPr>
        <xdr:cNvSpPr txBox="1"/>
      </xdr:nvSpPr>
      <xdr:spPr>
        <a:xfrm>
          <a:off x="5543550" y="295273"/>
          <a:ext cx="6296025" cy="6057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1">
              <a:solidFill>
                <a:schemeClr val="accent5">
                  <a:lumMod val="50000"/>
                </a:schemeClr>
              </a:solidFill>
            </a:rPr>
            <a:t>Fields in</a:t>
          </a:r>
          <a:r>
            <a:rPr lang="en-GB" sz="1000" b="1" baseline="0">
              <a:solidFill>
                <a:schemeClr val="accent5">
                  <a:lumMod val="50000"/>
                </a:schemeClr>
              </a:solidFill>
            </a:rPr>
            <a:t> the Green/Purple tabs</a:t>
          </a:r>
        </a:p>
        <a:p>
          <a:r>
            <a:rPr lang="en-GB" sz="1000" b="1">
              <a:solidFill>
                <a:schemeClr val="accent5">
                  <a:lumMod val="50000"/>
                </a:schemeClr>
              </a:solidFill>
            </a:rPr>
            <a:t>Col A - Line Type</a:t>
          </a:r>
          <a:br>
            <a:rPr lang="en-GB" sz="1000" baseline="0">
              <a:solidFill>
                <a:schemeClr val="accent5">
                  <a:lumMod val="50000"/>
                </a:schemeClr>
              </a:solidFill>
            </a:rPr>
          </a:br>
          <a:r>
            <a:rPr lang="en-GB" sz="1000" baseline="0">
              <a:solidFill>
                <a:schemeClr val="accent5">
                  <a:lumMod val="50000"/>
                </a:schemeClr>
              </a:solidFill>
            </a:rPr>
            <a:t>Options are:</a:t>
          </a:r>
        </a:p>
        <a:p>
          <a:r>
            <a:rPr lang="en-GB" sz="1000" baseline="0">
              <a:solidFill>
                <a:schemeClr val="accent5">
                  <a:lumMod val="50000"/>
                </a:schemeClr>
              </a:solidFill>
            </a:rPr>
            <a:t>H  - Header (Used to group fields together in sections)</a:t>
          </a:r>
        </a:p>
        <a:p>
          <a:r>
            <a:rPr lang="en-GB" sz="1000" baseline="0">
              <a:solidFill>
                <a:schemeClr val="accent5">
                  <a:lumMod val="50000"/>
                </a:schemeClr>
              </a:solidFill>
            </a:rPr>
            <a:t>Often there is a Cluster header, followed by a section header  E.g., Orders followed by Order </a:t>
          </a:r>
        </a:p>
        <a:p>
          <a:r>
            <a:rPr lang="en-GB" sz="1000" baseline="0">
              <a:solidFill>
                <a:schemeClr val="accent5">
                  <a:lumMod val="50000"/>
                </a:schemeClr>
              </a:solidFill>
            </a:rPr>
            <a:t>C - Comment, just for information but quite useful to break fields up logical groups</a:t>
          </a:r>
        </a:p>
        <a:p>
          <a:r>
            <a:rPr lang="en-GB" sz="1000" baseline="0">
              <a:solidFill>
                <a:schemeClr val="accent5">
                  <a:lumMod val="50000"/>
                </a:schemeClr>
              </a:solidFill>
            </a:rPr>
            <a:t>E- This is a data element or Field</a:t>
          </a:r>
        </a:p>
        <a:p>
          <a:r>
            <a:rPr lang="en-GB" sz="1000" baseline="0">
              <a:solidFill>
                <a:schemeClr val="accent5">
                  <a:lumMod val="50000"/>
                </a:schemeClr>
              </a:solidFill>
            </a:rPr>
            <a:t>Ref  - Used to include a separate (and usually optional) group of fields that can be used in several places within the data structure.  Using Ref allows the group to be defined once but used multiple times</a:t>
          </a:r>
        </a:p>
        <a:p>
          <a:r>
            <a:rPr lang="en-GB" sz="1000" baseline="0">
              <a:solidFill>
                <a:schemeClr val="accent5">
                  <a:lumMod val="50000"/>
                </a:schemeClr>
              </a:solidFill>
            </a:rPr>
            <a:t>!H  - End of header,  This is an entry to mark the end of a matching header (H) entry.   H and !H entries should be nested and there should always be the same number of each</a:t>
          </a:r>
        </a:p>
        <a:p>
          <a:endParaRPr lang="en-GB" sz="1000" baseline="0">
            <a:solidFill>
              <a:schemeClr val="accent5">
                <a:lumMod val="50000"/>
              </a:schemeClr>
            </a:solidFill>
          </a:endParaRPr>
        </a:p>
        <a:p>
          <a:r>
            <a:rPr lang="en-GB" sz="1000" baseline="0">
              <a:solidFill>
                <a:schemeClr val="accent5">
                  <a:lumMod val="50000"/>
                </a:schemeClr>
              </a:solidFill>
            </a:rPr>
            <a:t>RefE  These appear below the main definition section (usually after a number of !H lines closing all open sections) RefE marks the beginning of a reference group, !RefE marks the end.   Similar to headers, each 'RefE' should have a corresponding 'RefE' entry.   </a:t>
          </a:r>
        </a:p>
        <a:p>
          <a:r>
            <a:rPr lang="en-GB" sz="1000" baseline="0">
              <a:solidFill>
                <a:schemeClr val="accent5">
                  <a:lumMod val="50000"/>
                </a:schemeClr>
              </a:solidFill>
            </a:rPr>
            <a:t>NB For simplicity, this model does not support references nested within other references although this is possible and may be used in some cases.</a:t>
          </a:r>
        </a:p>
        <a:p>
          <a:endParaRPr lang="en-GB" sz="1000" baseline="0">
            <a:solidFill>
              <a:schemeClr val="accent5">
                <a:lumMod val="50000"/>
              </a:schemeClr>
            </a:solidFill>
          </a:endParaRPr>
        </a:p>
        <a:p>
          <a:r>
            <a:rPr lang="en-GB" sz="1000" b="1" baseline="0">
              <a:solidFill>
                <a:schemeClr val="accent5">
                  <a:lumMod val="50000"/>
                </a:schemeClr>
              </a:solidFill>
            </a:rPr>
            <a:t>Type &amp; Len </a:t>
          </a:r>
          <a:r>
            <a:rPr lang="en-GB" sz="1000" baseline="0">
              <a:solidFill>
                <a:schemeClr val="accent5">
                  <a:lumMod val="50000"/>
                </a:schemeClr>
              </a:solidFill>
            </a:rPr>
            <a:t>- Field type (E.g., String, Date, DateTime, Integer, Decimal) and field length (if a string)</a:t>
          </a:r>
        </a:p>
        <a:p>
          <a:r>
            <a:rPr lang="en-GB" sz="1000" b="1" baseline="0">
              <a:solidFill>
                <a:schemeClr val="accent5">
                  <a:lumMod val="50000"/>
                </a:schemeClr>
              </a:solidFill>
            </a:rPr>
            <a:t>Min,Max  </a:t>
          </a:r>
          <a:r>
            <a:rPr lang="en-GB" sz="1000" baseline="0">
              <a:solidFill>
                <a:schemeClr val="accent5">
                  <a:lumMod val="50000"/>
                </a:schemeClr>
              </a:solidFill>
            </a:rPr>
            <a:t>- if Min=1 this is a required field (fieldname highlighted in yellow). Max is usually blank or 'n' meaning as many as required, but sometimes it may be a specific number.  Min=? means field requirements vary depending on case.  E.g., a sales order includes the AddressGrp.  A SHIP address is always required and a SHIP address must have a first name and last name.  But a BILL address may also be uncluded but this does not require first name and last name to be filled </a:t>
          </a:r>
        </a:p>
        <a:p>
          <a:r>
            <a:rPr lang="en-GB" sz="1000" baseline="0">
              <a:solidFill>
                <a:schemeClr val="accent5">
                  <a:lumMod val="50000"/>
                </a:schemeClr>
              </a:solidFill>
            </a:rPr>
            <a:t>Valid - Upper if field will be converted to upper case on Import,  ISO (applies to Currency or Country) where entries must match the ISO definition.   </a:t>
          </a:r>
          <a:r>
            <a:rPr lang="en-GB" sz="1000" b="1" baseline="0">
              <a:solidFill>
                <a:schemeClr val="accent5">
                  <a:lumMod val="50000"/>
                </a:schemeClr>
              </a:solidFill>
            </a:rPr>
            <a:t>List</a:t>
          </a:r>
          <a:r>
            <a:rPr lang="en-GB" sz="1000" baseline="0">
              <a:solidFill>
                <a:schemeClr val="accent5">
                  <a:lumMod val="50000"/>
                </a:schemeClr>
              </a:solidFill>
            </a:rPr>
            <a:t> indicates that one of a specific list of approved values must be used.   The approved values per field are held in the LISTS tab.   </a:t>
          </a:r>
          <a:br>
            <a:rPr lang="en-GB" sz="1000" baseline="0">
              <a:solidFill>
                <a:schemeClr val="accent5">
                  <a:lumMod val="50000"/>
                </a:schemeClr>
              </a:solidFill>
            </a:rPr>
          </a:br>
          <a:r>
            <a:rPr lang="en-GB" sz="1000" baseline="0">
              <a:solidFill>
                <a:schemeClr val="accent5">
                  <a:lumMod val="50000"/>
                </a:schemeClr>
              </a:solidFill>
            </a:rPr>
            <a:t>CLIST is a customer list rather than an ILG controlled list.  The only difference within this model is when generating a JSON file to show structure.  CLIST shows as String, whereas LIST shows as an enumerated list.</a:t>
          </a:r>
        </a:p>
        <a:p>
          <a:r>
            <a:rPr lang="en-GB" sz="1000" baseline="0">
              <a:solidFill>
                <a:srgbClr val="FF0000"/>
              </a:solidFill>
            </a:rPr>
            <a:t>NB Lists are generally not used for custom fields as </a:t>
          </a:r>
          <a:r>
            <a:rPr lang="en-GB" sz="1000" i="1" baseline="0">
              <a:solidFill>
                <a:srgbClr val="FF0000"/>
              </a:solidFill>
            </a:rPr>
            <a:t>allowed</a:t>
          </a:r>
          <a:r>
            <a:rPr lang="en-GB" sz="1000" baseline="0">
              <a:solidFill>
                <a:srgbClr val="FF0000"/>
              </a:solidFill>
            </a:rPr>
            <a:t> values can be extensive and change over time </a:t>
          </a:r>
        </a:p>
        <a:p>
          <a:r>
            <a:rPr lang="en-GB" sz="1000" b="1" baseline="0">
              <a:solidFill>
                <a:schemeClr val="accent5">
                  <a:lumMod val="50000"/>
                </a:schemeClr>
              </a:solidFill>
            </a:rPr>
            <a:t>Sample/Comment  </a:t>
          </a:r>
          <a:r>
            <a:rPr lang="en-GB" sz="1000" baseline="0">
              <a:solidFill>
                <a:schemeClr val="accent5">
                  <a:lumMod val="50000"/>
                </a:schemeClr>
              </a:solidFill>
            </a:rPr>
            <a:t>- Shows possible values for the field.  NB for fields with 'List' validation, these cells are automatically updated by pressing the 'Update List Values' button.  Data from this field is used to populate the sample XML data output</a:t>
          </a:r>
        </a:p>
        <a:p>
          <a:r>
            <a:rPr lang="en-GB" sz="1000" b="1" baseline="0">
              <a:solidFill>
                <a:schemeClr val="accent5">
                  <a:lumMod val="50000"/>
                </a:schemeClr>
              </a:solidFill>
            </a:rPr>
            <a:t>Context </a:t>
          </a:r>
          <a:r>
            <a:rPr lang="en-GB" sz="1000" b="0" baseline="0">
              <a:solidFill>
                <a:schemeClr val="accent5">
                  <a:lumMod val="50000"/>
                </a:schemeClr>
              </a:solidFill>
            </a:rPr>
            <a:t>This is a calculated field and should not be overwritten.  It contains the heading pertinent to the current line and is used when generating a sample XML data output </a:t>
          </a:r>
          <a:endParaRPr lang="en-GB" sz="1100" baseline="0"/>
        </a:p>
      </xdr:txBody>
    </xdr:sp>
    <xdr:clientData/>
  </xdr:twoCellAnchor>
  <xdr:twoCellAnchor>
    <xdr:from>
      <xdr:col>0</xdr:col>
      <xdr:colOff>381000</xdr:colOff>
      <xdr:row>30</xdr:row>
      <xdr:rowOff>66676</xdr:rowOff>
    </xdr:from>
    <xdr:to>
      <xdr:col>7</xdr:col>
      <xdr:colOff>9525</xdr:colOff>
      <xdr:row>39</xdr:row>
      <xdr:rowOff>104776</xdr:rowOff>
    </xdr:to>
    <xdr:sp macro="" textlink="">
      <xdr:nvSpPr>
        <xdr:cNvPr id="4" name="TextBox 3">
          <a:extLst>
            <a:ext uri="{FF2B5EF4-FFF2-40B4-BE49-F238E27FC236}">
              <a16:creationId xmlns:a16="http://schemas.microsoft.com/office/drawing/2014/main" id="{6FD71B02-31B9-418A-95C6-9682D7423D05}"/>
            </a:ext>
          </a:extLst>
        </xdr:cNvPr>
        <xdr:cNvSpPr txBox="1"/>
      </xdr:nvSpPr>
      <xdr:spPr>
        <a:xfrm>
          <a:off x="381000" y="5781676"/>
          <a:ext cx="4324350" cy="1752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1">
              <a:solidFill>
                <a:schemeClr val="accent5">
                  <a:lumMod val="50000"/>
                </a:schemeClr>
              </a:solidFill>
            </a:rPr>
            <a:t>General Field Conventions</a:t>
          </a:r>
          <a:endParaRPr lang="en-GB" sz="1000" b="1" baseline="0">
            <a:solidFill>
              <a:schemeClr val="accent5">
                <a:lumMod val="50000"/>
              </a:schemeClr>
            </a:solidFill>
          </a:endParaRPr>
        </a:p>
        <a:p>
          <a:r>
            <a:rPr lang="en-GB" sz="1000" b="1" baseline="0">
              <a:solidFill>
                <a:schemeClr val="accent5">
                  <a:lumMod val="50000"/>
                </a:schemeClr>
              </a:solidFill>
            </a:rPr>
            <a:t>Type/Class - String(5)</a:t>
          </a:r>
        </a:p>
        <a:p>
          <a:r>
            <a:rPr lang="en-GB" sz="1000" b="0" baseline="0">
              <a:solidFill>
                <a:schemeClr val="accent5">
                  <a:lumMod val="50000"/>
                </a:schemeClr>
              </a:solidFill>
            </a:rPr>
            <a:t>Fields such as address type, request type or other limited options. These are ALWAYS UPPER</a:t>
          </a:r>
        </a:p>
        <a:p>
          <a:endParaRPr lang="en-GB" sz="1000" baseline="0">
            <a:solidFill>
              <a:schemeClr val="accent5">
                <a:lumMod val="50000"/>
              </a:schemeClr>
            </a:solidFill>
          </a:endParaRPr>
        </a:p>
        <a:p>
          <a:r>
            <a:rPr lang="en-GB" sz="1000" b="1" baseline="0">
              <a:solidFill>
                <a:schemeClr val="accent5">
                  <a:lumMod val="50000"/>
                </a:schemeClr>
              </a:solidFill>
            </a:rPr>
            <a:t>Yes/No or  Response Status -   Integer</a:t>
          </a:r>
        </a:p>
        <a:p>
          <a:r>
            <a:rPr lang="en-GB" sz="1000" baseline="0">
              <a:solidFill>
                <a:schemeClr val="accent5">
                  <a:lumMod val="50000"/>
                </a:schemeClr>
              </a:solidFill>
            </a:rPr>
            <a:t>Fields such as Serial Required/Batch Required where the usual response is a boolean true or false or a  will usually be stored as integer with 0 = No, 1 = Yes. This also extends to status reponses also this might extend to numbers higher than 1</a:t>
          </a:r>
        </a:p>
      </xdr:txBody>
    </xdr:sp>
    <xdr:clientData/>
  </xdr:twoCellAnchor>
  <xdr:twoCellAnchor>
    <xdr:from>
      <xdr:col>0</xdr:col>
      <xdr:colOff>428625</xdr:colOff>
      <xdr:row>13</xdr:row>
      <xdr:rowOff>76201</xdr:rowOff>
    </xdr:from>
    <xdr:to>
      <xdr:col>7</xdr:col>
      <xdr:colOff>57150</xdr:colOff>
      <xdr:row>29</xdr:row>
      <xdr:rowOff>95251</xdr:rowOff>
    </xdr:to>
    <xdr:sp macro="" textlink="">
      <xdr:nvSpPr>
        <xdr:cNvPr id="5" name="TextBox 4">
          <a:extLst>
            <a:ext uri="{FF2B5EF4-FFF2-40B4-BE49-F238E27FC236}">
              <a16:creationId xmlns:a16="http://schemas.microsoft.com/office/drawing/2014/main" id="{60EADBBD-7DAA-49AA-8670-22F5E44AAFCD}"/>
            </a:ext>
          </a:extLst>
        </xdr:cNvPr>
        <xdr:cNvSpPr txBox="1"/>
      </xdr:nvSpPr>
      <xdr:spPr>
        <a:xfrm>
          <a:off x="428625" y="2552701"/>
          <a:ext cx="4324350" cy="3067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1">
              <a:solidFill>
                <a:schemeClr val="accent5">
                  <a:lumMod val="50000"/>
                </a:schemeClr>
              </a:solidFill>
            </a:rPr>
            <a:t>Using</a:t>
          </a:r>
          <a:r>
            <a:rPr lang="en-GB" sz="1000" b="1" baseline="0">
              <a:solidFill>
                <a:schemeClr val="accent5">
                  <a:lumMod val="50000"/>
                </a:schemeClr>
              </a:solidFill>
            </a:rPr>
            <a:t> the Model (Green and Purple Tabs)</a:t>
          </a:r>
        </a:p>
        <a:p>
          <a:r>
            <a:rPr lang="en-GB" sz="1000" b="0" baseline="0">
              <a:solidFill>
                <a:schemeClr val="accent5">
                  <a:lumMod val="50000"/>
                </a:schemeClr>
              </a:solidFill>
            </a:rPr>
            <a:t>'EXPLODE'  copies the current tab to the 'Explode' tab and replaces any Ref: entries with the appropriate field list.</a:t>
          </a:r>
        </a:p>
        <a:p>
          <a:r>
            <a:rPr lang="en-GB" sz="1000" b="0" baseline="0">
              <a:solidFill>
                <a:schemeClr val="accent5">
                  <a:lumMod val="50000"/>
                </a:schemeClr>
              </a:solidFill>
            </a:rPr>
            <a:t>The </a:t>
          </a:r>
          <a:r>
            <a:rPr lang="en-GB" sz="1000" b="0" i="1" baseline="0">
              <a:solidFill>
                <a:schemeClr val="accent5">
                  <a:lumMod val="50000"/>
                </a:schemeClr>
              </a:solidFill>
            </a:rPr>
            <a:t>Context</a:t>
          </a:r>
          <a:r>
            <a:rPr lang="en-GB" sz="1000" b="0" baseline="0">
              <a:solidFill>
                <a:schemeClr val="accent5">
                  <a:lumMod val="50000"/>
                </a:schemeClr>
              </a:solidFill>
            </a:rPr>
            <a:t> of Ref fields are adusted so data can be pulled from appropriate list entries.  For example if the Ref: Custom Field Group is exploded from the GoodsOut (oOrders)  then the exploded fields will show a context of </a:t>
          </a:r>
          <a:r>
            <a:rPr lang="en-GB" sz="1000" b="1" baseline="0">
              <a:solidFill>
                <a:schemeClr val="accent5">
                  <a:lumMod val="50000"/>
                </a:schemeClr>
              </a:solidFill>
            </a:rPr>
            <a:t>oOrders|Cfields</a:t>
          </a:r>
        </a:p>
        <a:p>
          <a:endParaRPr lang="en-GB" sz="1000" b="1" baseline="0">
            <a:solidFill>
              <a:schemeClr val="accent5">
                <a:lumMod val="50000"/>
              </a:schemeClr>
            </a:solidFill>
          </a:endParaRPr>
        </a:p>
        <a:p>
          <a:r>
            <a:rPr lang="en-GB" sz="1000" b="1" baseline="0">
              <a:solidFill>
                <a:schemeClr val="accent5">
                  <a:lumMod val="50000"/>
                </a:schemeClr>
              </a:solidFill>
            </a:rPr>
            <a:t>The Explode Tab</a:t>
          </a:r>
        </a:p>
        <a:p>
          <a:r>
            <a:rPr lang="en-GB" sz="1000" b="0" baseline="0">
              <a:solidFill>
                <a:schemeClr val="accent5">
                  <a:lumMod val="50000"/>
                </a:schemeClr>
              </a:solidFill>
            </a:rPr>
            <a:t>Contains the exploded field list as described above. </a:t>
          </a:r>
        </a:p>
        <a:p>
          <a:r>
            <a:rPr lang="en-GB" sz="1000" b="0" baseline="0">
              <a:solidFill>
                <a:schemeClr val="accent5">
                  <a:lumMod val="50000"/>
                </a:schemeClr>
              </a:solidFill>
            </a:rPr>
            <a:t>'Update List Values'/ 'Toggle List Type'</a:t>
          </a:r>
        </a:p>
        <a:p>
          <a:r>
            <a:rPr lang="en-GB" sz="1000" b="0" baseline="0">
              <a:solidFill>
                <a:schemeClr val="accent5">
                  <a:lumMod val="50000"/>
                </a:schemeClr>
              </a:solidFill>
            </a:rPr>
            <a:t>Data for LIST or CLIST fields are held on the 'List' tab in one of two columns, </a:t>
          </a:r>
          <a:r>
            <a:rPr lang="en-GB" sz="1000" b="1" baseline="0">
              <a:solidFill>
                <a:schemeClr val="accent5">
                  <a:lumMod val="50000"/>
                </a:schemeClr>
              </a:solidFill>
            </a:rPr>
            <a:t>Generic</a:t>
          </a:r>
          <a:r>
            <a:rPr lang="en-GB" sz="1000" b="0" baseline="0">
              <a:solidFill>
                <a:schemeClr val="accent5">
                  <a:lumMod val="50000"/>
                </a:schemeClr>
              </a:solidFill>
            </a:rPr>
            <a:t> - non customer-specific data or </a:t>
          </a:r>
          <a:r>
            <a:rPr lang="en-GB" sz="1000" b="1" baseline="0">
              <a:solidFill>
                <a:schemeClr val="accent5">
                  <a:lumMod val="50000"/>
                </a:schemeClr>
              </a:solidFill>
            </a:rPr>
            <a:t>Customer Specific</a:t>
          </a:r>
          <a:r>
            <a:rPr lang="en-GB" sz="1000" b="0" baseline="0">
              <a:solidFill>
                <a:schemeClr val="accent5">
                  <a:lumMod val="50000"/>
                </a:schemeClr>
              </a:solidFill>
            </a:rPr>
            <a:t>.  These button update list values or toggle betweeen the two types</a:t>
          </a:r>
        </a:p>
        <a:p>
          <a:r>
            <a:rPr lang="en-GB" sz="1000" b="0" baseline="0">
              <a:solidFill>
                <a:schemeClr val="accent5">
                  <a:lumMod val="50000"/>
                </a:schemeClr>
              </a:solidFill>
            </a:rPr>
            <a:t>'Export'  Saves a version of the current exploded model as a flat xlsx file.</a:t>
          </a:r>
        </a:p>
        <a:p>
          <a:r>
            <a:rPr lang="en-GB" sz="1000" b="0" baseline="0">
              <a:solidFill>
                <a:schemeClr val="accent5">
                  <a:lumMod val="50000"/>
                </a:schemeClr>
              </a:solidFill>
            </a:rPr>
            <a:t>'Generate JSON'</a:t>
          </a:r>
        </a:p>
        <a:p>
          <a:r>
            <a:rPr lang="en-GB" sz="1000" b="0" baseline="0">
              <a:solidFill>
                <a:schemeClr val="accent5">
                  <a:lumMod val="50000"/>
                </a:schemeClr>
              </a:solidFill>
            </a:rPr>
            <a:t>Pressing this will present two options  'Yes' to create a JSON model with sample data, 'No' to create a JSON model which contains field information.</a:t>
          </a:r>
        </a:p>
        <a:p>
          <a:r>
            <a:rPr lang="en-GB" sz="1000" b="0" baseline="0">
              <a:solidFill>
                <a:schemeClr val="accent5">
                  <a:lumMod val="50000"/>
                </a:schemeClr>
              </a:solidFill>
            </a:rPr>
            <a:t>In both cases the result will be held on the JSON tab.</a:t>
          </a:r>
        </a:p>
        <a:p>
          <a:endParaRPr lang="en-GB" sz="1000" b="0" baseline="0">
            <a:solidFill>
              <a:schemeClr val="accent5">
                <a:lumMod val="50000"/>
              </a:schemeClr>
            </a:solidFill>
          </a:endParaRPr>
        </a:p>
        <a:p>
          <a:r>
            <a:rPr lang="en-GB" sz="1000" b="0" baseline="0">
              <a:solidFill>
                <a:schemeClr val="accent5">
                  <a:lumMod val="50000"/>
                </a:schemeClr>
              </a:solidFill>
            </a:rPr>
            <a:t> </a:t>
          </a:r>
          <a:br>
            <a:rPr lang="en-GB" sz="1000" b="0" baseline="0">
              <a:solidFill>
                <a:schemeClr val="accent5">
                  <a:lumMod val="50000"/>
                </a:schemeClr>
              </a:solidFill>
            </a:rPr>
          </a:br>
          <a:endParaRPr lang="en-GB" sz="1000" b="0" baseline="0">
            <a:solidFill>
              <a:schemeClr val="accent5">
                <a:lumMod val="50000"/>
              </a:schemeClr>
            </a:solidFill>
          </a:endParaRPr>
        </a:p>
        <a:p>
          <a:endParaRPr lang="en-GB" sz="1000" b="0" baseline="0">
            <a:solidFill>
              <a:schemeClr val="accent5">
                <a:lumMod val="50000"/>
              </a:schemeClr>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CC5F7E-ACAD-4315-954A-53EB5DAA8A7A}" name="fTbl" displayName="fTbl" ref="A2:U53" totalsRowShown="0" headerRowDxfId="503" headerRowBorderDxfId="502">
  <tableColumns count="21">
    <tableColumn id="1" xr3:uid="{51E3A8A2-CB7A-4F79-B8CF-9BC66DC0AE06}" name="LT" dataDxfId="501"/>
    <tableColumn id="2" xr3:uid="{B53DB709-7909-4E15-A01F-F2819B0E9E94}" name="Field" dataDxfId="500"/>
    <tableColumn id="3" xr3:uid="{2C1FEFBC-9F76-4BFF-83B3-DCC791B639B8}" name="Type"/>
    <tableColumn id="4" xr3:uid="{6330F2BF-A3A7-4D4F-8A77-44C780004A33}" name="Len" dataDxfId="499"/>
    <tableColumn id="10" xr3:uid="{4A197A90-05A2-4E3F-B174-1BD4A0878708}" name="Min" dataDxfId="498"/>
    <tableColumn id="9" xr3:uid="{57142F1B-D2CF-4B54-9B77-062EBC37604F}" name="Max" dataDxfId="497"/>
    <tableColumn id="5" xr3:uid="{A248EBDC-BD94-4D08-AFC6-BCB8ED38A78B}" name="LC" dataDxfId="496"/>
    <tableColumn id="11" xr3:uid="{D9129766-804F-4456-94C7-1B876654EA31}" name="valid" dataDxfId="495"/>
    <tableColumn id="6" xr3:uid="{4DD414B7-E3DF-4281-B39B-BA6F3DA34B92}" name="Description" dataDxfId="494"/>
    <tableColumn id="7" xr3:uid="{92FC2B40-4FDF-412F-B2EE-4C94464547CF}" name="Data" dataDxfId="493"/>
    <tableColumn id="12" xr3:uid="{5FE744B5-B8CE-44A1-9CD5-C9EFB88FC5C7}" name="Context" dataDxfId="492">
      <calculatedColumnFormula>IFERROR(IF(fTbl[[#This Row],[LT]]="H",MID(fTbl[[#This Row],[Hierarchy]],fTbl[[#This Row],[pipe1]]+1,fTbl[[#This Row],[pipe2]]-fTbl[[#This Row],[pipe1]]-1),LEFT(fTbl[[#This Row],[Hierarchy]],FIND("|",fTbl[[#This Row],[Hierarchy]])-1)),"")</calculatedColumnFormula>
    </tableColumn>
    <tableColumn id="15" xr3:uid="{0B52A0BA-2D3A-42F0-948C-7835F75BC062}" name="Lev" dataDxfId="491">
      <calculatedColumnFormula>IF(ROW()=3,0,OFFSET(fTbl[[#This Row],[Lev]],-1,0)+IF(OFFSET(fTbl[[#This Row],[LT]],-1,0)="H",1,IF(fTbl[[#This Row],[LT]]="!H",-1,0)))</calculatedColumnFormula>
    </tableColumn>
    <tableColumn id="8" xr3:uid="{FEA5D1AE-4FAF-4BD6-A729-F40BF1F60FEE}" name="listlu" dataDxfId="490">
      <calculatedColumnFormula>IF(RIGHT(fTbl[[#This Row],[valid]],4)&lt;&gt;"list",0,IFERROR(MATCH(fTbl[[#This Row],[Context]]&amp;"|"&amp;fTbl[[#This Row],[Field]],Ltbl[ind],0),IFERROR(MATCH("ALL|"&amp;fTbl[[#This Row],[Field]],Ltbl[ind],0),-1)))</calculatedColumnFormula>
    </tableColumn>
    <tableColumn id="14" xr3:uid="{FF364723-A45B-4490-8319-15AD4CA73CD4}" name="liMatch" dataDxfId="489">
      <calculatedColumnFormula array="1">IF(fTbl[[#This Row],[listlu]]&lt;1,"",IF(INDEX(Ltbl[Generic],fTbl[[#This Row],[listlu]])="","",INDEX(Ltbl[Generic],fTbl[[#This Row],[listlu]])))</calculatedColumnFormula>
    </tableColumn>
    <tableColumn id="16" xr3:uid="{BE944900-C42B-4491-A015-FE04BD111005}" name="lisCount" dataDxfId="488">
      <calculatedColumnFormula>IF(AND(fTbl[[#This Row],[listlu]],ISERROR(FIND(",",fTbl[[#This Row],[liMatch]])),fTbl[[#This Row],[liMatch]]&lt;&gt;""),1,0)</calculatedColumnFormula>
    </tableColumn>
    <tableColumn id="13" xr3:uid="{E39ACCD9-0135-4EFB-94E5-F37204CFBF41}" name="reflu" dataDxfId="487">
      <calculatedColumnFormula>IF(AND(fTbl[[#This Row],[LT]]="Ref",ISNA(MATCH(fTbl[[#This Row],[Field]],rTbl[Ref],0))),1,0)</calculatedColumnFormula>
    </tableColumn>
    <tableColumn id="17" xr3:uid="{446AE375-C98C-49C3-A312-BEC2832B42F6}" name="Hierarchy" dataDxfId="486">
      <calculatedColumnFormula>IF(ROW()=3,IF(fTbl[[#This Row],[LT]]="H",fTbl[[#This Row],[Field]]&amp;"|","|"),IF(fTbl[[#This Row],[LT]]="H",fTbl[[#This Row],[Field]]&amp;"|"&amp;OFFSET(fTbl[[#This Row],[Hierarchy]],-1,0),IF(fTbl[[#This Row],[LT]]&lt;&gt;"!H",OFFSET(fTbl[[#This Row],[Hierarchy]],-1,0),RIGHT(OFFSET(fTbl[[#This Row],[Hierarchy]],-1,0),LEN(OFFSET(fTbl[[#This Row],[Hierarchy]],-1,0))-LEN(fTbl[[#This Row],[Field]])-1))))</calculatedColumnFormula>
    </tableColumn>
    <tableColumn id="20" xr3:uid="{4593DB96-E6D2-4115-BE72-AA87140DD260}" name="pipe1" dataDxfId="485">
      <calculatedColumnFormula>FIND("~",SUBSTITUTE(fTbl[[#This Row],[Hierarchy]],"|","~",1))</calculatedColumnFormula>
    </tableColumn>
    <tableColumn id="21" xr3:uid="{3426F35C-9A9F-4C9A-A79C-7F6D71CEB963}" name="pipe2" dataDxfId="484">
      <calculatedColumnFormula>FIND("~",SUBSTITUTE(fTbl[[#This Row],[Hierarchy]],"|","~",2))</calculatedColumnFormula>
    </tableColumn>
    <tableColumn id="18" xr3:uid="{FA40D0CA-EF8C-4CAC-9867-546D4B29D883}" name="ListT" dataDxfId="483">
      <calculatedColumnFormula array="1">IF(fTbl[[#This Row],[listlu]]=0,0,IF(INDEX(Ltbl[Context],fTbl[[#This Row],[listlu]],1)="ALL",1,2))</calculatedColumnFormula>
    </tableColumn>
    <tableColumn id="19" xr3:uid="{10A0D085-2B4A-4DA7-84B4-353547C58993}" name="Comments" dataDxfId="482"/>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7A3B953-C0A7-4855-BD86-BF847D378D85}" name="fTbl12" displayName="fTbl12" ref="A2:U28" totalsRowShown="0" headerRowDxfId="462" headerRowBorderDxfId="461">
  <tableColumns count="21">
    <tableColumn id="1" xr3:uid="{C382023B-0B14-4354-8911-65DC0D50B231}" name="LT" dataDxfId="460"/>
    <tableColumn id="2" xr3:uid="{822CA155-E061-46A1-B2AB-898689C2C14E}" name="Field" dataDxfId="459"/>
    <tableColumn id="3" xr3:uid="{645C6BEE-6FCE-4E88-B0E8-19F424406445}" name="Type"/>
    <tableColumn id="4" xr3:uid="{446C122E-3323-4E3D-A6AB-A2B249A6A3DC}" name="Len" dataDxfId="458"/>
    <tableColumn id="10" xr3:uid="{FBE1D799-7342-4E2E-9D2C-3F41CBA57FF5}" name="Min" dataDxfId="457"/>
    <tableColumn id="9" xr3:uid="{73D9A6AA-1336-4C65-9AFC-8886DE46FAFD}" name="Max" dataDxfId="456"/>
    <tableColumn id="5" xr3:uid="{11CB5F3F-5A11-4A77-9F15-D8A5AEFDD45E}" name="LC" dataDxfId="455"/>
    <tableColumn id="11" xr3:uid="{77483F14-DE47-4A80-80F8-2F617FD42933}" name="valid" dataDxfId="454"/>
    <tableColumn id="6" xr3:uid="{D66B4E93-1B60-48B6-BDA0-0534622BA94C}" name="Description" dataDxfId="453"/>
    <tableColumn id="7" xr3:uid="{6861CF34-9468-4EEF-AD81-AD3260E0926B}" name="Data" dataDxfId="452"/>
    <tableColumn id="12" xr3:uid="{0B2D224C-25A6-4D2E-8803-2F269BE40606}" name="Context" dataDxfId="451">
      <calculatedColumnFormula>IFERROR(IF(fTbl12[[#This Row],[LT]]="H",MID(fTbl12[[#This Row],[Hierarchy]],fTbl12[[#This Row],[pipe1]]+1,fTbl12[[#This Row],[pipe2]]-fTbl12[[#This Row],[pipe1]]-1),LEFT(fTbl12[[#This Row],[Hierarchy]],FIND("|",fTbl12[[#This Row],[Hierarchy]])-1)),"")</calculatedColumnFormula>
    </tableColumn>
    <tableColumn id="15" xr3:uid="{BFEF18B3-86CC-4A05-8E5A-D001B69A642E}" name="Lev" dataDxfId="450">
      <calculatedColumnFormula>IF(ROW()=3,0,OFFSET(fTbl12[[#This Row],[Lev]],-1,0)+IF(OFFSET(fTbl12[[#This Row],[LT]],-1,0)="H",1,IF(fTbl12[[#This Row],[LT]]="!H",-1,0)))</calculatedColumnFormula>
    </tableColumn>
    <tableColumn id="8" xr3:uid="{0DF018AC-00FE-4C8F-B083-06A5CCDE3883}" name="listlu" dataDxfId="449">
      <calculatedColumnFormula>IF(RIGHT(fTbl12[[#This Row],[valid]],4)&lt;&gt;"list",0,IFERROR(MATCH(fTbl12[[#This Row],[Context]]&amp;"|"&amp;fTbl12[[#This Row],[Field]],Ltbl[ind],0),IFERROR(MATCH("ALL|"&amp;fTbl12[[#This Row],[Field]],Ltbl[ind],0),-1)))</calculatedColumnFormula>
    </tableColumn>
    <tableColumn id="14" xr3:uid="{AEC60CFF-A493-4675-AC0B-2BEB17933C5A}" name="liMatch" dataDxfId="448">
      <calculatedColumnFormula array="1">IF(fTbl12[[#This Row],[listlu]]&lt;1,"",IF(INDEX(Ltbl[Generic],fTbl12[[#This Row],[listlu]])="","",INDEX(Ltbl[Generic],fTbl12[[#This Row],[listlu]])))</calculatedColumnFormula>
    </tableColumn>
    <tableColumn id="16" xr3:uid="{B940327E-4345-47D8-8E81-DC2DA3BE3C17}" name="lisCount" dataDxfId="447">
      <calculatedColumnFormula>IF(AND(fTbl12[[#This Row],[listlu]],ISERROR(FIND(",",fTbl12[[#This Row],[liMatch]])),fTbl12[[#This Row],[liMatch]]&lt;&gt;""),1,0)</calculatedColumnFormula>
    </tableColumn>
    <tableColumn id="13" xr3:uid="{C6BA2D15-3096-438C-8D8D-A4EEDE058037}" name="reflu" dataDxfId="446">
      <calculatedColumnFormula>IF(AND(fTbl12[[#This Row],[LT]]="Ref",ISNA(MATCH(fTbl12[[#This Row],[Field]],rTbl[Ref],0))),1,0)</calculatedColumnFormula>
    </tableColumn>
    <tableColumn id="17" xr3:uid="{A88F62E8-046A-4297-AA43-F3F15D68320B}" name="Hierarchy" dataDxfId="445">
      <calculatedColumnFormula>IF(ROW()=3,IF(fTbl12[[#This Row],[LT]]="H",fTbl12[[#This Row],[Field]]&amp;"|","|"),IF(fTbl12[[#This Row],[LT]]="H",fTbl12[[#This Row],[Field]]&amp;"|"&amp;OFFSET(fTbl12[[#This Row],[Hierarchy]],-1,0),IF(fTbl12[[#This Row],[LT]]&lt;&gt;"!H",OFFSET(fTbl12[[#This Row],[Hierarchy]],-1,0),RIGHT(OFFSET(fTbl12[[#This Row],[Hierarchy]],-1,0),LEN(OFFSET(fTbl12[[#This Row],[Hierarchy]],-1,0))-LEN(fTbl12[[#This Row],[Field]])-1))))</calculatedColumnFormula>
    </tableColumn>
    <tableColumn id="20" xr3:uid="{372A3177-F5D8-4B05-B099-3550F3F7980D}" name="pipe1" dataDxfId="444">
      <calculatedColumnFormula>FIND("~",SUBSTITUTE(fTbl12[[#This Row],[Hierarchy]],"|","~",1))</calculatedColumnFormula>
    </tableColumn>
    <tableColumn id="21" xr3:uid="{B63C2A62-F274-4670-AC08-24770D69DBFB}" name="pipe2" dataDxfId="443">
      <calculatedColumnFormula>FIND("~",SUBSTITUTE(fTbl12[[#This Row],[Hierarchy]],"|","~",2))</calculatedColumnFormula>
    </tableColumn>
    <tableColumn id="18" xr3:uid="{582646D6-10D0-4038-828C-9B5B5E3F99A9}" name="ListT" dataDxfId="442">
      <calculatedColumnFormula array="1">IF(fTbl12[[#This Row],[listlu]]=0,0,IF(INDEX(Ltbl[Context],fTbl12[[#This Row],[listlu]],1)="ALL",1,2))</calculatedColumnFormula>
    </tableColumn>
    <tableColumn id="19" xr3:uid="{4FADE1EC-E491-4DE3-AEC5-C118B0B81329}" name="Comments" dataDxfId="441"/>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618420E-DE79-42BA-BE1E-BDF1981605FA}" name="fTbl14" displayName="fTbl14" ref="A2:U36" totalsRowShown="0" headerRowDxfId="421" headerRowBorderDxfId="420">
  <tableColumns count="21">
    <tableColumn id="1" xr3:uid="{15E5359D-583F-45B8-9417-0198F6B3CEBC}" name="LT" dataDxfId="419"/>
    <tableColumn id="2" xr3:uid="{6F2A9B97-5483-4A59-BC21-12A99026DE92}" name="Field" dataDxfId="418"/>
    <tableColumn id="3" xr3:uid="{431ACD9C-F78C-4EEC-89D1-DCA9391B6145}" name="Type"/>
    <tableColumn id="4" xr3:uid="{B0FA2223-8DFD-405C-8E58-3C002133E69B}" name="Len" dataDxfId="417"/>
    <tableColumn id="10" xr3:uid="{A22C6D69-A555-4C82-B590-EBF14F8BBB03}" name="Min" dataDxfId="416"/>
    <tableColumn id="9" xr3:uid="{C43CF25F-24DC-49EF-80E9-A901862E2C70}" name="Max" dataDxfId="415"/>
    <tableColumn id="5" xr3:uid="{62960D3A-7CEA-448D-9922-2DA37592C0EB}" name="LC" dataDxfId="414"/>
    <tableColumn id="11" xr3:uid="{3C910BB7-B3B5-4548-9EF3-34FC0F99DBD9}" name="valid" dataDxfId="413"/>
    <tableColumn id="6" xr3:uid="{00B6E77E-701E-44D2-ADA3-623815DE7181}" name="Description" dataDxfId="412"/>
    <tableColumn id="7" xr3:uid="{E92CD370-B43C-4E2A-A17F-E86A0594A2A6}" name="Data" dataDxfId="411"/>
    <tableColumn id="12" xr3:uid="{C12500FB-DA19-48E3-8541-C54AC640F5E5}" name="Context" dataDxfId="410">
      <calculatedColumnFormula>IFERROR(IF(fTbl14[[#This Row],[LT]]="H",MID(fTbl14[[#This Row],[Hierarchy]],fTbl14[[#This Row],[pipe1]]+1,fTbl14[[#This Row],[pipe2]]-fTbl14[[#This Row],[pipe1]]-1),LEFT(fTbl14[[#This Row],[Hierarchy]],FIND("|",fTbl14[[#This Row],[Hierarchy]])-1)),"")</calculatedColumnFormula>
    </tableColumn>
    <tableColumn id="15" xr3:uid="{59D2C061-7B61-4690-9553-E142FF427271}" name="Lev" dataDxfId="409">
      <calculatedColumnFormula>IF(ROW()=3,0,OFFSET(fTbl14[[#This Row],[Lev]],-1,0)+IF(OFFSET(fTbl14[[#This Row],[LT]],-1,0)="H",1,IF(fTbl14[[#This Row],[LT]]="!H",-1,0)))</calculatedColumnFormula>
    </tableColumn>
    <tableColumn id="8" xr3:uid="{8F364AFE-DB76-446D-ACE3-BF404DCEE5C1}" name="listlu" dataDxfId="408">
      <calculatedColumnFormula>IF(RIGHT(fTbl14[[#This Row],[valid]],4)&lt;&gt;"list",0,IFERROR(MATCH(fTbl14[[#This Row],[Context]]&amp;"|"&amp;fTbl14[[#This Row],[Field]],Ltbl[ind],0),IFERROR(MATCH("ALL|"&amp;fTbl14[[#This Row],[Field]],Ltbl[ind],0),-1)))</calculatedColumnFormula>
    </tableColumn>
    <tableColumn id="14" xr3:uid="{89817174-577D-4F94-AE89-FDB76E19F0DC}" name="liMatch" dataDxfId="407">
      <calculatedColumnFormula array="1">IF(fTbl14[[#This Row],[listlu]]&lt;1,"",IF(INDEX(Ltbl[Generic],fTbl14[[#This Row],[listlu]])="","",INDEX(Ltbl[Generic],fTbl14[[#This Row],[listlu]])))</calculatedColumnFormula>
    </tableColumn>
    <tableColumn id="16" xr3:uid="{17EA1DD8-2B8D-4EC5-B21C-CAF7DA077862}" name="lisCount" dataDxfId="406">
      <calculatedColumnFormula>IF(AND(fTbl14[[#This Row],[listlu]],ISERROR(FIND(",",fTbl14[[#This Row],[liMatch]])),fTbl14[[#This Row],[liMatch]]&lt;&gt;""),1,0)</calculatedColumnFormula>
    </tableColumn>
    <tableColumn id="13" xr3:uid="{6A5C6BC2-4983-4661-9E2A-64460FCD47ED}" name="reflu" dataDxfId="405">
      <calculatedColumnFormula>IF(AND(fTbl14[[#This Row],[LT]]="Ref",ISNA(MATCH(fTbl14[[#This Row],[Field]],rTbl[Ref],0))),1,0)</calculatedColumnFormula>
    </tableColumn>
    <tableColumn id="17" xr3:uid="{4365D7C9-03BB-4AEE-A06B-EDC473CB7D38}" name="Hierarchy" dataDxfId="404">
      <calculatedColumnFormula>IF(ROW()=3,IF(fTbl14[[#This Row],[LT]]="H",fTbl14[[#This Row],[Field]]&amp;"|","|"),IF(fTbl14[[#This Row],[LT]]="H",fTbl14[[#This Row],[Field]]&amp;"|"&amp;OFFSET(fTbl14[[#This Row],[Hierarchy]],-1,0),IF(fTbl14[[#This Row],[LT]]&lt;&gt;"!H",OFFSET(fTbl14[[#This Row],[Hierarchy]],-1,0),RIGHT(OFFSET(fTbl14[[#This Row],[Hierarchy]],-1,0),LEN(OFFSET(fTbl14[[#This Row],[Hierarchy]],-1,0))-LEN(fTbl14[[#This Row],[Field]])-1))))</calculatedColumnFormula>
    </tableColumn>
    <tableColumn id="20" xr3:uid="{B9BE3ADB-5D2C-46E1-B202-9968BE5E4BBB}" name="pipe1" dataDxfId="403">
      <calculatedColumnFormula>FIND("~",SUBSTITUTE(fTbl14[[#This Row],[Hierarchy]],"|","~",1))</calculatedColumnFormula>
    </tableColumn>
    <tableColumn id="21" xr3:uid="{1025E246-50B9-4EC4-8DBD-E15D2759BEF5}" name="pipe2" dataDxfId="402">
      <calculatedColumnFormula>FIND("~",SUBSTITUTE(fTbl14[[#This Row],[Hierarchy]],"|","~",2))</calculatedColumnFormula>
    </tableColumn>
    <tableColumn id="18" xr3:uid="{AA59CDE0-3CF1-43D1-8CBD-8B2E5BC24B22}" name="ListT" dataDxfId="401">
      <calculatedColumnFormula array="1">IF(fTbl14[[#This Row],[listlu]]=0,0,IF(INDEX(Ltbl[Context],fTbl14[[#This Row],[listlu]],1)="ALL",1,2))</calculatedColumnFormula>
    </tableColumn>
    <tableColumn id="19" xr3:uid="{8CD713E9-2396-4062-A22B-7D12858F5C81}" name="Comments" dataDxfId="400"/>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89B2E51-48F3-43A1-A569-5D024B04E648}" name="fTbl9" displayName="fTbl9" ref="A2:U53" totalsRowShown="0" headerRowDxfId="376" headerRowBorderDxfId="375">
  <tableColumns count="21">
    <tableColumn id="1" xr3:uid="{F4248199-DF65-47A4-AB81-42BC68790642}" name="LT" dataDxfId="374"/>
    <tableColumn id="2" xr3:uid="{64192A23-E755-4A9B-BF30-F625E4BA6FA2}" name="Field" dataDxfId="373"/>
    <tableColumn id="3" xr3:uid="{463507C6-3741-4DF9-A2E6-91218AC6C847}" name="Type"/>
    <tableColumn id="4" xr3:uid="{FA16D005-15AC-4F09-A9BB-9A3D6637FD83}" name="Len" dataDxfId="372"/>
    <tableColumn id="10" xr3:uid="{24563CDC-4426-48C9-9D48-A3390673DA26}" name="Min" dataDxfId="371"/>
    <tableColumn id="9" xr3:uid="{8A18BBDC-A935-4446-88FA-D6A0AF1AB397}" name="Max" dataDxfId="370"/>
    <tableColumn id="5" xr3:uid="{EDB71E19-E9BD-4FE6-BC70-169615A940C3}" name="LC" dataDxfId="369"/>
    <tableColumn id="11" xr3:uid="{EE7634B4-5E93-48AF-A40B-E8C1B1BC1476}" name="valid" dataDxfId="368"/>
    <tableColumn id="6" xr3:uid="{D5010009-DC48-4168-B4F1-6237587F5B72}" name="Description" dataDxfId="367"/>
    <tableColumn id="7" xr3:uid="{3DB14D2D-62F3-42A4-90ED-7334B21F6C24}" name="Data" dataDxfId="366"/>
    <tableColumn id="12" xr3:uid="{D57409E8-8226-4032-8B9F-910A39B012ED}" name="Context" dataDxfId="365">
      <calculatedColumnFormula>IFERROR(IF(fTbl9[[#This Row],[LT]]="H",MID(fTbl9[[#This Row],[Hierarchy]],fTbl9[[#This Row],[pipe1]]+1,fTbl9[[#This Row],[pipe2]]-fTbl9[[#This Row],[pipe1]]-1),LEFT(fTbl9[[#This Row],[Hierarchy]],FIND("|",fTbl9[[#This Row],[Hierarchy]])-1)),"")</calculatedColumnFormula>
    </tableColumn>
    <tableColumn id="15" xr3:uid="{3A95D4C3-60DD-4D69-BD21-EBA72F7A47E9}" name="Lev" dataDxfId="364">
      <calculatedColumnFormula>IF(ROW()=3,0,OFFSET(fTbl9[[#This Row],[Lev]],-1,0)+IF(OFFSET(fTbl9[[#This Row],[LT]],-1,0)="H",1,IF(fTbl9[[#This Row],[LT]]="!H",-1,0)))</calculatedColumnFormula>
    </tableColumn>
    <tableColumn id="8" xr3:uid="{EDDE3D51-A0DA-4959-91BB-1C75BAC95F80}" name="listlu" dataDxfId="363">
      <calculatedColumnFormula>IF(RIGHT(fTbl9[[#This Row],[valid]],4)&lt;&gt;"list",0,IFERROR(MATCH(fTbl9[[#This Row],[Context]]&amp;"|"&amp;fTbl9[[#This Row],[Field]],Ltbl[ind],0),IFERROR(MATCH("ALL|"&amp;fTbl9[[#This Row],[Field]],Ltbl[ind],0),-1)))</calculatedColumnFormula>
    </tableColumn>
    <tableColumn id="14" xr3:uid="{C1CC1212-AC8F-407E-A2FB-5B58E45A25D1}" name="liMatch" dataDxfId="362">
      <calculatedColumnFormula array="1">IF(fTbl9[[#This Row],[listlu]]&lt;1,"",IF(INDEX(Ltbl[Generic],fTbl9[[#This Row],[listlu]])="","",INDEX(Ltbl[Generic],fTbl9[[#This Row],[listlu]])))</calculatedColumnFormula>
    </tableColumn>
    <tableColumn id="16" xr3:uid="{0EE4D513-9009-42DE-ABCB-10C51F480CE6}" name="lisCount" dataDxfId="361">
      <calculatedColumnFormula>IF(AND(fTbl9[[#This Row],[listlu]],ISERROR(FIND(",",fTbl9[[#This Row],[liMatch]])),fTbl9[[#This Row],[liMatch]]&lt;&gt;""),1,0)</calculatedColumnFormula>
    </tableColumn>
    <tableColumn id="13" xr3:uid="{21B95A93-A8DD-4BE2-983B-BFDE4DCC7C6E}" name="reflu" dataDxfId="360">
      <calculatedColumnFormula>IF(AND(fTbl9[[#This Row],[LT]]="Ref",ISNA(MATCH(fTbl9[[#This Row],[Field]],rTbl[Ref],0))),1,0)</calculatedColumnFormula>
    </tableColumn>
    <tableColumn id="17" xr3:uid="{B448B3B0-A4B5-408C-8BD2-D0643A754752}" name="Hierarchy" dataDxfId="359">
      <calculatedColumnFormula>IF(ROW()=3,IF(fTbl9[[#This Row],[LT]]="H",fTbl9[[#This Row],[Field]]&amp;"|","|"),IF(fTbl9[[#This Row],[LT]]="H",fTbl9[[#This Row],[Field]]&amp;"|"&amp;OFFSET(fTbl9[[#This Row],[Hierarchy]],-1,0),IF(fTbl9[[#This Row],[LT]]&lt;&gt;"!H",OFFSET(fTbl9[[#This Row],[Hierarchy]],-1,0),RIGHT(OFFSET(fTbl9[[#This Row],[Hierarchy]],-1,0),LEN(OFFSET(fTbl9[[#This Row],[Hierarchy]],-1,0))-LEN(fTbl9[[#This Row],[Field]])-1))))</calculatedColumnFormula>
    </tableColumn>
    <tableColumn id="20" xr3:uid="{1A4CDAE2-EDF4-4B73-9D1F-C70E22189DEF}" name="pipe1" dataDxfId="358">
      <calculatedColumnFormula>FIND("~",SUBSTITUTE(fTbl9[[#This Row],[Hierarchy]],"|","~",1))</calculatedColumnFormula>
    </tableColumn>
    <tableColumn id="21" xr3:uid="{546C653D-2B88-4FCA-8FAD-96DB0B243345}" name="pipe2" dataDxfId="357">
      <calculatedColumnFormula>FIND("~",SUBSTITUTE(fTbl9[[#This Row],[Hierarchy]],"|","~",2))</calculatedColumnFormula>
    </tableColumn>
    <tableColumn id="18" xr3:uid="{AA63F726-D078-4354-926D-1A31E64EC850}" name="ListT" dataDxfId="356">
      <calculatedColumnFormula array="1">IF(fTbl9[[#This Row],[listlu]]=0,0,IF(INDEX(Ltbl[Context],fTbl9[[#This Row],[listlu]],1)="ALL",1,2))</calculatedColumnFormula>
    </tableColumn>
    <tableColumn id="19" xr3:uid="{73CB8C8D-7F8D-425A-96BD-89F56D0C745F}" name="Comments" dataDxfId="355"/>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90EEE27-05A3-4042-A907-27AC24F08D52}" name="fTbl215" displayName="fTbl215" ref="A2:U43" totalsRowShown="0" headerRowDxfId="299" headerRowBorderDxfId="298">
  <tableColumns count="21">
    <tableColumn id="1" xr3:uid="{3321EB27-AE87-476A-B3B4-C5BDDC2961F9}" name="LT" dataDxfId="297"/>
    <tableColumn id="2" xr3:uid="{924DF589-9885-4D9D-8991-B43AE6C7B05D}" name="Field" dataDxfId="296"/>
    <tableColumn id="3" xr3:uid="{6DF4574E-6F1D-49E5-BDF3-1379B139BA7A}" name="Type"/>
    <tableColumn id="4" xr3:uid="{87E9BFD5-9BF6-460B-9F8D-D07A001AEF53}" name="Len" dataDxfId="295"/>
    <tableColumn id="10" xr3:uid="{ED763188-999C-4EBE-8910-3A67A5A91488}" name="Min" dataDxfId="294"/>
    <tableColumn id="9" xr3:uid="{31A49F2E-EF2F-4891-8230-81BE35ED9DCD}" name="Max" dataDxfId="293"/>
    <tableColumn id="5" xr3:uid="{5C5EE47E-340C-4A70-909E-BDF2CFEB28B3}" name="LC" dataDxfId="292"/>
    <tableColumn id="11" xr3:uid="{D52297EF-E018-4084-9655-35F6E34C9D21}" name="valid" dataDxfId="291"/>
    <tableColumn id="6" xr3:uid="{BECCCE5D-C0B8-4C42-A1F1-1BD3E722495C}" name="Description" dataDxfId="290"/>
    <tableColumn id="7" xr3:uid="{8039242A-BB42-42D6-9B09-001BC6D020A4}" name="Data" dataDxfId="289"/>
    <tableColumn id="12" xr3:uid="{63B7E36B-629A-4DE1-B0D2-AE32FDFA8C86}" name="Context" dataDxfId="288">
      <calculatedColumnFormula>IFERROR(IF(fTbl215[[#This Row],[LT]]="H",MID(fTbl215[[#This Row],[Hierarchy]],fTbl215[[#This Row],[pipe1]]+1,fTbl215[[#This Row],[pipe2]]-fTbl215[[#This Row],[pipe1]]-1),LEFT(fTbl215[[#This Row],[Hierarchy]],FIND("|",fTbl215[[#This Row],[Hierarchy]])-1)),"")</calculatedColumnFormula>
    </tableColumn>
    <tableColumn id="15" xr3:uid="{7FA72701-E6BC-4829-A62B-A1438F7493C0}" name="Lev" dataDxfId="287">
      <calculatedColumnFormula>IF(ROW()=3,0,OFFSET(fTbl215[[#This Row],[Lev]],-1,0)+IF(OFFSET(fTbl215[[#This Row],[LT]],-1,0)="H",1,IF(fTbl215[[#This Row],[LT]]="!H",-1,0)))</calculatedColumnFormula>
    </tableColumn>
    <tableColumn id="8" xr3:uid="{3CF8298D-1AD4-4BC0-A378-2FA3B42438D2}" name="listlu" dataDxfId="286">
      <calculatedColumnFormula>IF(RIGHT(fTbl215[[#This Row],[valid]],4)&lt;&gt;"list",0,IFERROR(MATCH(fTbl215[[#This Row],[Context]]&amp;"|"&amp;fTbl215[[#This Row],[Field]],Ltbl[ind],0),IFERROR(MATCH("ALL|"&amp;fTbl215[[#This Row],[Field]],Ltbl[ind],0),-1)))</calculatedColumnFormula>
    </tableColumn>
    <tableColumn id="14" xr3:uid="{83F583A8-22CA-47A7-AE3F-FF4D33BEAA28}" name="liMatch" dataDxfId="285">
      <calculatedColumnFormula array="1">IF(fTbl215[[#This Row],[listlu]]&lt;1,"",IF(INDEX(Ltbl[Generic],fTbl215[[#This Row],[listlu]])="","",INDEX(Ltbl[Generic],fTbl215[[#This Row],[listlu]])))</calculatedColumnFormula>
    </tableColumn>
    <tableColumn id="16" xr3:uid="{F8A9CB7F-90B3-4016-B7D9-7095117E59AE}" name="lisCount" dataDxfId="284">
      <calculatedColumnFormula>IF(AND(fTbl215[[#This Row],[listlu]],ISERROR(FIND(",",fTbl215[[#This Row],[liMatch]])),fTbl215[[#This Row],[liMatch]]&lt;&gt;""),1,0)</calculatedColumnFormula>
    </tableColumn>
    <tableColumn id="13" xr3:uid="{3422685A-AD7C-4EE6-B6EC-E1544F7F76E6}" name="reflu" dataDxfId="283">
      <calculatedColumnFormula>IF(AND(fTbl215[[#This Row],[LT]]="Ref",ISNA(MATCH(fTbl215[[#This Row],[Field]],rTbl[Ref],0))),1,0)</calculatedColumnFormula>
    </tableColumn>
    <tableColumn id="17" xr3:uid="{A8294D9E-5870-4586-BEB5-653D368CF8CC}" name="Hierarchy" dataDxfId="282">
      <calculatedColumnFormula>IF(ROW()=3,IF(fTbl215[[#This Row],[LT]]="H",fTbl215[[#This Row],[Field]]&amp;"|","|"),IF(fTbl215[[#This Row],[LT]]="H",fTbl215[[#This Row],[Field]]&amp;"|"&amp;OFFSET(fTbl215[[#This Row],[Hierarchy]],-1,0),IF(fTbl215[[#This Row],[LT]]&lt;&gt;"!H",OFFSET(fTbl215[[#This Row],[Hierarchy]],-1,0),RIGHT(OFFSET(fTbl215[[#This Row],[Hierarchy]],-1,0),LEN(OFFSET(fTbl215[[#This Row],[Hierarchy]],-1,0))-LEN(fTbl215[[#This Row],[Field]])-1))))</calculatedColumnFormula>
    </tableColumn>
    <tableColumn id="20" xr3:uid="{B2A8B1EF-B0A5-4EB7-BA0B-AA0B559B068D}" name="pipe1" dataDxfId="281">
      <calculatedColumnFormula>FIND("~",SUBSTITUTE(fTbl215[[#This Row],[Hierarchy]],"|","~",1))</calculatedColumnFormula>
    </tableColumn>
    <tableColumn id="21" xr3:uid="{16C41F2F-5FBB-4DD0-8373-AAC602AB109A}" name="pipe2" dataDxfId="280">
      <calculatedColumnFormula>FIND("~",SUBSTITUTE(fTbl215[[#This Row],[Hierarchy]],"|","~",2))</calculatedColumnFormula>
    </tableColumn>
    <tableColumn id="18" xr3:uid="{00CB3814-AB07-4E87-A6D4-5BC0364B2FDC}" name="ListT" dataDxfId="279">
      <calculatedColumnFormula array="1">IF(fTbl215[[#This Row],[listlu]]=0,0,IF(INDEX(Ltbl[Context],fTbl215[[#This Row],[listlu]],1)="ALL",1,2))</calculatedColumnFormula>
    </tableColumn>
    <tableColumn id="19" xr3:uid="{7D763422-209C-4ED4-BD93-865450BB8AD1}" name="Comments" dataDxfId="278"/>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237EC8-B68F-4191-B4A1-3093A0D1FACC}" name="fTbl2" displayName="fTbl2" ref="A2:U36" totalsRowShown="0" headerRowDxfId="258" headerRowBorderDxfId="257">
  <tableColumns count="21">
    <tableColumn id="1" xr3:uid="{D1AD03FF-955B-4001-AA75-91AA31EE8CDC}" name="LT" dataDxfId="256"/>
    <tableColumn id="2" xr3:uid="{772D9D38-B766-40A8-B583-7282C5C2A06E}" name="Field" dataDxfId="255"/>
    <tableColumn id="3" xr3:uid="{3C9F90A0-7869-4164-92F2-D81A3C153AF4}" name="Type"/>
    <tableColumn id="4" xr3:uid="{9726D286-B7C0-43E5-A48E-EDC22DE491FF}" name="Len" dataDxfId="254"/>
    <tableColumn id="10" xr3:uid="{8AF5D961-B62E-4276-8AC2-5F1E91CADCA6}" name="Min" dataDxfId="253"/>
    <tableColumn id="9" xr3:uid="{A80114D2-5422-4B0F-8FDD-F265D0397D93}" name="Max" dataDxfId="252"/>
    <tableColumn id="5" xr3:uid="{DC1675CB-D3FF-4B11-A026-AB2BBC721A84}" name="LC" dataDxfId="251"/>
    <tableColumn id="11" xr3:uid="{D4407292-5E34-4067-BBE3-B498D2EFC4CE}" name="valid" dataDxfId="250"/>
    <tableColumn id="6" xr3:uid="{851E442F-6B42-4DE0-AA05-567605FF81C7}" name="Description" dataDxfId="249"/>
    <tableColumn id="7" xr3:uid="{EF459695-2483-4386-A9C6-B29586D1EE14}" name="Data" dataDxfId="248"/>
    <tableColumn id="12" xr3:uid="{AF8CEFF0-29A8-42E0-9C90-EDADA0143C89}" name="Context" dataDxfId="247">
      <calculatedColumnFormula>IFERROR(IF(fTbl2[[#This Row],[LT]]="H",MID(fTbl2[[#This Row],[Hierarchy]],fTbl2[[#This Row],[pipe1]]+1,fTbl2[[#This Row],[pipe2]]-fTbl2[[#This Row],[pipe1]]-1),LEFT(fTbl2[[#This Row],[Hierarchy]],FIND("|",fTbl2[[#This Row],[Hierarchy]])-1)),"")</calculatedColumnFormula>
    </tableColumn>
    <tableColumn id="15" xr3:uid="{1507D12F-B42E-446A-9E18-E3CB981200DC}" name="Lev" dataDxfId="246">
      <calculatedColumnFormula>IF(ROW()=3,0,OFFSET(fTbl2[[#This Row],[Lev]],-1,0)+IF(OFFSET(fTbl2[[#This Row],[LT]],-1,0)="H",1,IF(fTbl2[[#This Row],[LT]]="!H",-1,0)))</calculatedColumnFormula>
    </tableColumn>
    <tableColumn id="8" xr3:uid="{396356B7-6509-4BA2-9E4C-9118AFD2DE8B}" name="listlu" dataDxfId="245">
      <calculatedColumnFormula>IF(RIGHT(fTbl2[[#This Row],[valid]],4)&lt;&gt;"list",0,IFERROR(MATCH(fTbl2[[#This Row],[Context]]&amp;"|"&amp;fTbl2[[#This Row],[Field]],Ltbl[ind],0),IFERROR(MATCH("ALL|"&amp;fTbl2[[#This Row],[Field]],Ltbl[ind],0),-1)))</calculatedColumnFormula>
    </tableColumn>
    <tableColumn id="14" xr3:uid="{FFFDA17D-8198-4E8D-A15E-A33BDFB0B5C3}" name="liMatch" dataDxfId="244">
      <calculatedColumnFormula array="1">IF(fTbl2[[#This Row],[listlu]]&lt;1,"",IF(INDEX(Ltbl[Generic],fTbl2[[#This Row],[listlu]])="","",INDEX(Ltbl[Generic],fTbl2[[#This Row],[listlu]])))</calculatedColumnFormula>
    </tableColumn>
    <tableColumn id="16" xr3:uid="{988DA27D-237C-4870-B612-7D3B8C19BF63}" name="lisCount" dataDxfId="243">
      <calculatedColumnFormula>IF(AND(fTbl2[[#This Row],[listlu]],ISERROR(FIND(",",fTbl2[[#This Row],[liMatch]])),fTbl2[[#This Row],[liMatch]]&lt;&gt;""),1,0)</calculatedColumnFormula>
    </tableColumn>
    <tableColumn id="13" xr3:uid="{00641546-A77E-4EB0-9BB8-EA932D32CB09}" name="reflu" dataDxfId="242">
      <calculatedColumnFormula>IF(AND(fTbl2[[#This Row],[LT]]="Ref",ISNA(MATCH(fTbl2[[#This Row],[Field]],rTbl[Ref],0))),1,0)</calculatedColumnFormula>
    </tableColumn>
    <tableColumn id="17" xr3:uid="{8A76A945-C561-40EC-A6E4-3006A5CA9E4B}" name="Hierarchy" dataDxfId="241">
      <calculatedColumnFormula>IF(ROW()=3,IF(fTbl2[[#This Row],[LT]]="H",fTbl2[[#This Row],[Field]]&amp;"|","|"),IF(fTbl2[[#This Row],[LT]]="H",fTbl2[[#This Row],[Field]]&amp;"|"&amp;OFFSET(fTbl2[[#This Row],[Hierarchy]],-1,0),IF(fTbl2[[#This Row],[LT]]&lt;&gt;"!H",OFFSET(fTbl2[[#This Row],[Hierarchy]],-1,0),RIGHT(OFFSET(fTbl2[[#This Row],[Hierarchy]],-1,0),LEN(OFFSET(fTbl2[[#This Row],[Hierarchy]],-1,0))-LEN(fTbl2[[#This Row],[Field]])-1))))</calculatedColumnFormula>
    </tableColumn>
    <tableColumn id="20" xr3:uid="{92830DE7-51EF-43ED-96F7-AD6D349DF31C}" name="pipe1" dataDxfId="240">
      <calculatedColumnFormula>FIND("~",SUBSTITUTE(fTbl2[[#This Row],[Hierarchy]],"|","~",1))</calculatedColumnFormula>
    </tableColumn>
    <tableColumn id="21" xr3:uid="{F0926565-AD2D-4B8E-BAF0-423224076380}" name="pipe2" dataDxfId="239">
      <calculatedColumnFormula>FIND("~",SUBSTITUTE(fTbl2[[#This Row],[Hierarchy]],"|","~",2))</calculatedColumnFormula>
    </tableColumn>
    <tableColumn id="18" xr3:uid="{B04325B1-C932-4B9B-8368-525394AC69BE}" name="ListT" dataDxfId="238">
      <calculatedColumnFormula array="1">IF(fTbl2[[#This Row],[listlu]]=0,0,IF(INDEX(Ltbl[Context],fTbl2[[#This Row],[listlu]],1)="ALL",1,2))</calculatedColumnFormula>
    </tableColumn>
    <tableColumn id="19" xr3:uid="{84D750D2-9DE1-4669-8749-3E665B5EEE8E}" name="Comments" dataDxfId="237"/>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23117ED-C71E-4200-B2AC-B4417F462B0D}" name="fTbl211" displayName="fTbl211" ref="A2:U37" totalsRowShown="0" headerRowDxfId="217" headerRowBorderDxfId="216">
  <tableColumns count="21">
    <tableColumn id="1" xr3:uid="{5168AD5C-AFAB-4993-A219-C1AA709B21B9}" name="LT" dataDxfId="215"/>
    <tableColumn id="2" xr3:uid="{025AE6DA-D646-4213-B692-0D2DF9E0E506}" name="Field" dataDxfId="214"/>
    <tableColumn id="3" xr3:uid="{A401BBF9-9C2A-4E3B-841D-36BDF8184EE4}" name="Type"/>
    <tableColumn id="4" xr3:uid="{811FCE95-334A-4412-9C05-84A16215A1C3}" name="Len" dataDxfId="213"/>
    <tableColumn id="10" xr3:uid="{8A503901-D0B4-4AE5-81C7-696B55DBA8DD}" name="Min" dataDxfId="212"/>
    <tableColumn id="9" xr3:uid="{E2105DC4-C18E-42C3-9439-659DBD6D556E}" name="Max" dataDxfId="211"/>
    <tableColumn id="5" xr3:uid="{E1223B26-E903-4F0B-A594-0E7D4244A709}" name="LC" dataDxfId="210"/>
    <tableColumn id="11" xr3:uid="{4CDB9D60-C00A-497D-A33A-776A609ACB6E}" name="valid" dataDxfId="209"/>
    <tableColumn id="6" xr3:uid="{1BB4A31C-D524-4E46-8CC5-A6C9A791CFF7}" name="Description" dataDxfId="208"/>
    <tableColumn id="7" xr3:uid="{327BC124-767B-4D11-B578-38DDD4C4D81D}" name="Data" dataDxfId="207"/>
    <tableColumn id="12" xr3:uid="{8ACA7527-4710-47D3-9EFA-C3A7D62A95EF}" name="Context" dataDxfId="206">
      <calculatedColumnFormula>IFERROR(IF(fTbl211[[#This Row],[LT]]="H",MID(fTbl211[[#This Row],[Hierarchy]],fTbl211[[#This Row],[pipe1]]+1,fTbl211[[#This Row],[pipe2]]-fTbl211[[#This Row],[pipe1]]-1),LEFT(fTbl211[[#This Row],[Hierarchy]],FIND("|",fTbl211[[#This Row],[Hierarchy]])-1)),"")</calculatedColumnFormula>
    </tableColumn>
    <tableColumn id="15" xr3:uid="{8A9214FE-B36B-4D93-A3A3-9A18C5A35ED8}" name="Lev" dataDxfId="205">
      <calculatedColumnFormula>IF(ROW()=3,0,OFFSET(fTbl211[[#This Row],[Lev]],-1,0)+IF(OFFSET(fTbl211[[#This Row],[LT]],-1,0)="H",1,IF(fTbl211[[#This Row],[LT]]="!H",-1,0)))</calculatedColumnFormula>
    </tableColumn>
    <tableColumn id="8" xr3:uid="{85BEE893-1A1B-4080-9EFE-354F8706F405}" name="listlu" dataDxfId="204">
      <calculatedColumnFormula>IF(fTbl211[[#This Row],[valid]]&lt;&gt;"list",0,IFERROR(MATCH(fTbl211[[#This Row],[Context]]&amp;"|"&amp;fTbl211[[#This Row],[Field]],Ltbl[ind],0),IFERROR(MATCH("ALL|"&amp;fTbl211[[#This Row],[Field]],Ltbl[ind],0),-1)))</calculatedColumnFormula>
    </tableColumn>
    <tableColumn id="14" xr3:uid="{80897205-16EE-4E5E-9B0C-41B986D55C5B}" name="liMatch" dataDxfId="203">
      <calculatedColumnFormula array="1">IF(fTbl211[[#This Row],[listlu]]&lt;1,"",IF(INDEX(Ltbl[Generic],fTbl211[[#This Row],[listlu]])="","",INDEX(Ltbl[Generic],fTbl211[[#This Row],[listlu]])))</calculatedColumnFormula>
    </tableColumn>
    <tableColumn id="16" xr3:uid="{26B3A53C-386E-4AA2-8F11-13A462920C00}" name="lisCount" dataDxfId="202">
      <calculatedColumnFormula>IF(AND(fTbl211[[#This Row],[listlu]],ISERROR(FIND(",",fTbl211[[#This Row],[liMatch]])),fTbl211[[#This Row],[liMatch]]&lt;&gt;""),1,0)</calculatedColumnFormula>
    </tableColumn>
    <tableColumn id="13" xr3:uid="{42E85509-2DDC-4CB1-8AEF-7341BEC1CE80}" name="reflu" dataDxfId="201">
      <calculatedColumnFormula>IF(AND(fTbl211[[#This Row],[LT]]="Ref",ISNA(MATCH(fTbl211[[#This Row],[Field]],rTbl[Ref],0))),1,0)</calculatedColumnFormula>
    </tableColumn>
    <tableColumn id="17" xr3:uid="{67F431CC-AA58-4A3E-AE58-33699D7349A1}" name="Hierarchy" dataDxfId="200">
      <calculatedColumnFormula>IF(ROW()=3,IF(fTbl211[[#This Row],[LT]]="H",fTbl211[[#This Row],[Field]]&amp;"|","|"),IF(fTbl211[[#This Row],[LT]]="H",fTbl211[[#This Row],[Field]]&amp;"|"&amp;OFFSET(fTbl211[[#This Row],[Hierarchy]],-1,0),IF(fTbl211[[#This Row],[LT]]&lt;&gt;"!H",OFFSET(fTbl211[[#This Row],[Hierarchy]],-1,0),RIGHT(OFFSET(fTbl211[[#This Row],[Hierarchy]],-1,0),LEN(OFFSET(fTbl211[[#This Row],[Hierarchy]],-1,0))-LEN(fTbl211[[#This Row],[Field]])-1))))</calculatedColumnFormula>
    </tableColumn>
    <tableColumn id="20" xr3:uid="{762C624E-C7D9-4C33-A457-0FFE1F1666A1}" name="pipe1" dataDxfId="199">
      <calculatedColumnFormula>FIND("~",SUBSTITUTE(fTbl211[[#This Row],[Hierarchy]],"|","~",1))</calculatedColumnFormula>
    </tableColumn>
    <tableColumn id="21" xr3:uid="{0A67E10B-BB8F-440F-BD25-048B086D6626}" name="pipe2" dataDxfId="198">
      <calculatedColumnFormula>FIND("~",SUBSTITUTE(fTbl211[[#This Row],[Hierarchy]],"|","~",2))</calculatedColumnFormula>
    </tableColumn>
    <tableColumn id="18" xr3:uid="{F817376B-BC26-475E-9BE9-038DD6DE8AE5}" name="ListT" dataDxfId="197">
      <calculatedColumnFormula array="1">IF(fTbl211[[#This Row],[listlu]]=0,0,IF(INDEX(Ltbl[Context],fTbl211[[#This Row],[listlu]],1)="ALL",1,2))</calculatedColumnFormula>
    </tableColumn>
    <tableColumn id="19" xr3:uid="{46B8BC38-B0EF-40E9-8980-35F0EF4620E9}" name="Comments" dataDxfId="196"/>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45F2F32-94E1-4B0E-8C9A-FB0B48EB7070}" name="fTbl5" displayName="fTbl5" ref="A2:U33" totalsRowShown="0" headerRowDxfId="176" headerRowBorderDxfId="175">
  <tableColumns count="21">
    <tableColumn id="1" xr3:uid="{9A2D1270-CF84-422A-B4BC-17F7CC708C71}" name="LT" dataDxfId="174"/>
    <tableColumn id="2" xr3:uid="{B0CA414A-D028-48D2-A664-9900D94A4E48}" name="Field" dataDxfId="173"/>
    <tableColumn id="3" xr3:uid="{95C78687-C47F-4ABD-8A5E-A70E3AA6D3E8}" name="Type"/>
    <tableColumn id="4" xr3:uid="{1B63A57A-86AD-43B9-A707-3EDA20EDA6C2}" name="Len" dataDxfId="172"/>
    <tableColumn id="10" xr3:uid="{9FB47D93-A234-443D-BD35-3FF91EC89F1D}" name="Min" dataDxfId="171"/>
    <tableColumn id="9" xr3:uid="{00F42467-5A3C-480F-9AA2-C7DA0785E3E4}" name="Max" dataDxfId="170"/>
    <tableColumn id="5" xr3:uid="{1A46928A-EED3-4856-9F7B-2254B0342699}" name="LC" dataDxfId="169"/>
    <tableColumn id="11" xr3:uid="{23D6C4A5-308F-4F8B-A843-217BA90A8B35}" name="valid" dataDxfId="168"/>
    <tableColumn id="6" xr3:uid="{D68BC8C6-4FDB-48D9-8AB9-CEE0941C53AE}" name="Description" dataDxfId="167"/>
    <tableColumn id="7" xr3:uid="{F6C13AFF-DDC1-4529-93F0-522A087F2CC4}" name="Data" dataDxfId="166"/>
    <tableColumn id="12" xr3:uid="{EC530FF0-15B0-4250-9C58-01C80A19257B}" name="Context" dataDxfId="165">
      <calculatedColumnFormula>IFERROR(IF(fTbl5[[#This Row],[LT]]="H",MID(fTbl5[[#This Row],[Hierarchy]],fTbl5[[#This Row],[pipe1]]+1,fTbl5[[#This Row],[pipe2]]-fTbl5[[#This Row],[pipe1]]-1),LEFT(fTbl5[[#This Row],[Hierarchy]],FIND("|",fTbl5[[#This Row],[Hierarchy]])-1)),"")</calculatedColumnFormula>
    </tableColumn>
    <tableColumn id="15" xr3:uid="{A3FA6C4B-72E8-43AF-9E7F-CC1E7F1B66A5}" name="Lev" dataDxfId="164">
      <calculatedColumnFormula>IF(ROW()=3,0,OFFSET(fTbl5[[#This Row],[Lev]],-1,0)+IF(OFFSET(fTbl5[[#This Row],[LT]],-1,0)="H",1,IF(fTbl5[[#This Row],[LT]]="!H",-1,0)))</calculatedColumnFormula>
    </tableColumn>
    <tableColumn id="8" xr3:uid="{6F25DEBE-78FC-45CC-BB50-85519BF76669}" name="listlu" dataDxfId="163">
      <calculatedColumnFormula>IF(RIGHT(fTbl5[[#This Row],[valid]],4)&lt;&gt;"list",0,IFERROR(MATCH(fTbl5[[#This Row],[Context]]&amp;"|"&amp;fTbl5[[#This Row],[Field]],Ltbl[ind],0),IFERROR(MATCH("ALL|"&amp;fTbl5[[#This Row],[Field]],Ltbl[ind],0),-1)))</calculatedColumnFormula>
    </tableColumn>
    <tableColumn id="14" xr3:uid="{0132C735-826E-4DA2-8EC3-2FFA6A095D40}" name="liMatch" dataDxfId="162">
      <calculatedColumnFormula array="1">IF(fTbl5[[#This Row],[listlu]]&lt;1,"",IF(INDEX(Ltbl[Generic],fTbl5[[#This Row],[listlu]])="","",INDEX(Ltbl[Generic],fTbl5[[#This Row],[listlu]])))</calculatedColumnFormula>
    </tableColumn>
    <tableColumn id="16" xr3:uid="{D97B4950-8EDA-48D0-808D-9C132B6E396B}" name="lisCount" dataDxfId="161">
      <calculatedColumnFormula>IF(AND(fTbl5[[#This Row],[listlu]],ISERROR(FIND(",",fTbl5[[#This Row],[liMatch]])),fTbl5[[#This Row],[liMatch]]&lt;&gt;""),1,0)</calculatedColumnFormula>
    </tableColumn>
    <tableColumn id="13" xr3:uid="{841B4F55-8C84-4ECD-9D34-63958BBB6F5A}" name="reflu" dataDxfId="160">
      <calculatedColumnFormula>IF(AND(fTbl5[[#This Row],[LT]]="Ref",ISNA(MATCH(fTbl5[[#This Row],[Field]],rTbl[Ref],0))),1,0)</calculatedColumnFormula>
    </tableColumn>
    <tableColumn id="17" xr3:uid="{1350E22B-A41A-40D2-80CC-74E927DB8E1D}" name="Hierarchy" dataDxfId="159">
      <calculatedColumnFormula>IF(ROW()=3,IF(fTbl5[[#This Row],[LT]]="H",fTbl5[[#This Row],[Field]]&amp;"|","|"),IF(fTbl5[[#This Row],[LT]]="H",fTbl5[[#This Row],[Field]]&amp;"|"&amp;OFFSET(fTbl5[[#This Row],[Hierarchy]],-1,0),IF(fTbl5[[#This Row],[LT]]&lt;&gt;"!H",OFFSET(fTbl5[[#This Row],[Hierarchy]],-1,0),RIGHT(OFFSET(fTbl5[[#This Row],[Hierarchy]],-1,0),LEN(OFFSET(fTbl5[[#This Row],[Hierarchy]],-1,0))-LEN(fTbl5[[#This Row],[Field]])-1))))</calculatedColumnFormula>
    </tableColumn>
    <tableColumn id="20" xr3:uid="{6F9984EF-C851-41C2-AB81-93692942FE5A}" name="pipe1" dataDxfId="158">
      <calculatedColumnFormula>FIND("~",SUBSTITUTE(fTbl5[[#This Row],[Hierarchy]],"|","~",1))</calculatedColumnFormula>
    </tableColumn>
    <tableColumn id="21" xr3:uid="{F95A31CE-668A-4BA0-A11F-D24F4AA6AEE7}" name="pipe2" dataDxfId="157">
      <calculatedColumnFormula>FIND("~",SUBSTITUTE(fTbl5[[#This Row],[Hierarchy]],"|","~",2))</calculatedColumnFormula>
    </tableColumn>
    <tableColumn id="18" xr3:uid="{BF7E2735-3A19-424D-870D-E23EB104B7DE}" name="ListT" dataDxfId="156">
      <calculatedColumnFormula array="1">IF(fTbl5[[#This Row],[listlu]]=0,0,IF(INDEX(Ltbl[Context],fTbl5[[#This Row],[listlu]],1)="ALL",1,2))</calculatedColumnFormula>
    </tableColumn>
    <tableColumn id="19" xr3:uid="{D20F5DFC-03B4-42B5-A752-F505B9F09BB7}" name="Comments" dataDxfId="155"/>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5E4964-DE24-41F7-A179-EC02BFA98791}" name="rTbl" displayName="rTbl" ref="A2:T49" totalsRowShown="0" headerRowDxfId="128" headerRowBorderDxfId="127">
  <tableColumns count="20">
    <tableColumn id="16" xr3:uid="{ACA288E8-4C13-4796-AE98-CA6439F5100E}" name="Ref" dataDxfId="126"/>
    <tableColumn id="1" xr3:uid="{56D294AC-5828-4FFA-9AB0-43301F9C1B7F}" name="LT" dataDxfId="125"/>
    <tableColumn id="2" xr3:uid="{618C7D28-84C8-48B6-9820-47A82484A453}" name="Field" dataDxfId="124"/>
    <tableColumn id="3" xr3:uid="{D4AA2B95-7128-49C3-88E8-2919B9D5752D}" name="Type"/>
    <tableColumn id="4" xr3:uid="{D2E42551-1238-4B70-AAB5-FF346769E9A1}" name="Len" dataDxfId="123"/>
    <tableColumn id="10" xr3:uid="{1E34AF2C-A09E-4401-A532-759A9BF0E3DC}" name="Min" dataDxfId="122"/>
    <tableColumn id="9" xr3:uid="{C2DB1384-3C6A-4378-BCEE-1B26C23F068E}" name="Max" dataDxfId="121"/>
    <tableColumn id="13" xr3:uid="{68D98D25-663B-49CA-9FBD-DBF69431DFF4}" name="LC" dataDxfId="120"/>
    <tableColumn id="11" xr3:uid="{444D7CF3-E72E-4135-B9A5-40701401D6DC}" name="valid" dataDxfId="119"/>
    <tableColumn id="6" xr3:uid="{56B41D0B-3C93-430C-B495-BA32E2BADC14}" name="Description" dataDxfId="118"/>
    <tableColumn id="7" xr3:uid="{743DE0CC-583F-461A-9882-4251F73180D7}" name="Data" dataDxfId="117"/>
    <tableColumn id="12" xr3:uid="{AB24B1E6-51D1-4DAA-A71C-25FBC3221F76}" name="Context" dataDxfId="116">
      <calculatedColumnFormula>IFERROR(IF(rTbl[[#This Row],[LT]]="H",MID(rTbl[[#This Row],[Hierarchy]],rTbl[[#This Row],[Pipe1]]+1,rTbl[[#This Row],[Pipe2]]-rTbl[[#This Row],[Pipe1]]-1),LEFT(rTbl[[#This Row],[Hierarchy]],FIND("|",rTbl[[#This Row],[Hierarchy]])-1)),"")</calculatedColumnFormula>
    </tableColumn>
    <tableColumn id="15" xr3:uid="{A05A0479-FFD0-4653-8EE2-B4B11A0C6B6E}" name="Lev" dataDxfId="115">
      <calculatedColumnFormula>IF(ROW()=3,0,OFFSET(rTbl[[#This Row],[Lev]],-1,0)+IF(OFFSET(rTbl[[#This Row],[LT]],-1,0)="H",1,IF(rTbl[[#This Row],[LT]]="!H",-1,0)))</calculatedColumnFormula>
    </tableColumn>
    <tableColumn id="8" xr3:uid="{EDA86458-5338-407D-894D-1A6BF7A289EB}" name="listlu" dataDxfId="114">
      <calculatedColumnFormula>IF(RIGHT(rTbl[[#This Row],[valid]],4)&lt;&gt;"list",0,IFERROR(MATCH(rTbl[[#This Row],[Context]]&amp;"|"&amp;rTbl[[#This Row],[Field]],Ltbl[ind],0),IFERROR(MATCH("ALL|"&amp;rTbl[[#This Row],[Field]],Ltbl[ind],0),-1)))</calculatedColumnFormula>
    </tableColumn>
    <tableColumn id="14" xr3:uid="{2DDDB778-98A6-4E18-9FF1-6C5592085FDD}" name="liMatch" dataDxfId="113">
      <calculatedColumnFormula array="1">IF(rTbl[[#This Row],[listlu]]&lt;1,"",IF(INDEX(Ltbl[Generic],rTbl[[#This Row],[listlu]])="","",INDEX(Ltbl[Generic],rTbl[[#This Row],[listlu]])))</calculatedColumnFormula>
    </tableColumn>
    <tableColumn id="17" xr3:uid="{A8F74AC0-FE4C-4C3F-8BD6-67FDF8677961}" name="ListT" dataDxfId="112">
      <calculatedColumnFormula array="1">IF(rTbl[[#This Row],[listlu]]=0,0,IF(INDEX(Ltbl[Context],rTbl[[#This Row],[listlu]],1)="ALL",1,2))</calculatedColumnFormula>
    </tableColumn>
    <tableColumn id="18" xr3:uid="{0A4EE81E-CE20-49F6-9401-6A7E7B7AABD2}" name="Hierarchy" dataDxfId="111">
      <calculatedColumnFormula>IF(ROW()=3,IF(rTbl[[#This Row],[LT]]="H",rTbl[[#This Row],[Field]]&amp;"|","|"),IF(rTbl[[#This Row],[LT]]="H",rTbl[[#This Row],[Field]]&amp;"|"&amp;OFFSET(rTbl[[#This Row],[Hierarchy]],-1,0),IF(rTbl[[#This Row],[LT]]&lt;&gt;"!H",OFFSET(rTbl[[#This Row],[Hierarchy]],-1,0),RIGHT(OFFSET(rTbl[[#This Row],[Hierarchy]],-1,0),LEN(OFFSET(rTbl[[#This Row],[Hierarchy]],-1,0))-LEN(rTbl[[#This Row],[Field]])-1))))</calculatedColumnFormula>
    </tableColumn>
    <tableColumn id="19" xr3:uid="{A65DBDD6-CF38-4537-AD25-06BE375C0690}" name="Pipe1" dataDxfId="110">
      <calculatedColumnFormula>FIND("~",SUBSTITUTE(rTbl[[#This Row],[Hierarchy]],"|","~",1))</calculatedColumnFormula>
    </tableColumn>
    <tableColumn id="20" xr3:uid="{402E6B74-996A-42CB-8EFD-0F442051C095}" name="Pipe2" dataDxfId="109">
      <calculatedColumnFormula>FIND("~",SUBSTITUTE(rTbl[[#This Row],[Hierarchy]],"|","~",2))</calculatedColumnFormula>
    </tableColumn>
    <tableColumn id="5" xr3:uid="{6654FBBE-45F7-4501-BD2B-1FBC15A09FAD}" name="Comment" dataDxfId="10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A46E2C-0BC3-494D-B9DE-5D2FDC1276F6}" name="Ltbl" displayName="Ltbl" ref="B3:J38" totalsRowShown="0">
  <autoFilter ref="B3:J38" xr:uid="{D1A46E2C-0BC3-494D-B9DE-5D2FDC1276F6}"/>
  <sortState xmlns:xlrd2="http://schemas.microsoft.com/office/spreadsheetml/2017/richdata2" ref="B4:J38">
    <sortCondition ref="B3:B38"/>
  </sortState>
  <tableColumns count="9">
    <tableColumn id="1" xr3:uid="{75C8E1C4-0BB8-4EE6-A4EF-B37CB2C2A693}" name="Context"/>
    <tableColumn id="2" xr3:uid="{98D02D67-C5E3-4936-BD4A-440C17E639A6}" name="Field"/>
    <tableColumn id="3" xr3:uid="{1E587F6F-06CB-4649-B8BF-DA1BFBE7D2C7}" name="Generic"/>
    <tableColumn id="7" xr3:uid="{97B1660D-FCF4-4DD8-91E8-31E7DE7907A9}" name="CustomerSpecific"/>
    <tableColumn id="8" xr3:uid="{45C3DDE1-33DC-4C32-AFB9-79ECEB3B0CA4}" name="STAT" dataDxfId="105"/>
    <tableColumn id="6" xr3:uid="{592107D5-4AA4-4496-BA52-414A665CBA2F}" name="Description"/>
    <tableColumn id="4" xr3:uid="{7CCF31F0-E275-4752-B436-1E1F61B0B4FA}" name="#" dataDxfId="104">
      <calculatedColumnFormula>IF(Ltbl[[#This Row],[Generic]]="",0,LEN(Ltbl[[#This Row],[Generic]])-LEN(SUBSTITUTE(Ltbl[[#This Row],[Generic]],",",""))+1)</calculatedColumnFormula>
    </tableColumn>
    <tableColumn id="5" xr3:uid="{BCD3D2B9-922D-4C2D-8734-025ADF1FE105}" name="ind" dataDxfId="103">
      <calculatedColumnFormula>Ltbl[[#This Row],[Context]]&amp;"|"&amp;Ltbl[[#This Row],[Field]]</calculatedColumnFormula>
    </tableColumn>
    <tableColumn id="9" xr3:uid="{3677ABA3-98B0-4058-8219-5AFDCA402659}" name="RetData" dataDxfId="102">
      <calculatedColumnFormula>IF(ListData="Generic",Ltbl[[#This Row],[Generic]],IF(LEN(Ltbl[[#This Row],[CustomerSpecific]])&gt;1,Ltbl[[#This Row],[CustomerSpecific]],Ltbl[[#This Row],[Generic]]))</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E34A59-EED7-4D86-A657-2C8297F6028F}" name="Qtbl" displayName="Qtbl" ref="M13:R17" totalsRowShown="0">
  <autoFilter ref="M13:R17" xr:uid="{A2E34A59-EED7-4D86-A657-2C8297F6028F}"/>
  <sortState xmlns:xlrd2="http://schemas.microsoft.com/office/spreadsheetml/2017/richdata2" ref="M14:R17">
    <sortCondition ref="M13:M17"/>
  </sortState>
  <tableColumns count="6">
    <tableColumn id="14" xr3:uid="{6C9E70C8-C3F8-4786-9096-9A5407C2857F}" name="LU" dataDxfId="94">
      <calculatedColumnFormula>Qtbl[[#This Row],[Context]]&amp;"|"&amp;Qtbl[[#This Row],[Ref]]</calculatedColumnFormula>
    </tableColumn>
    <tableColumn id="1" xr3:uid="{EFDE78DB-70D7-42AA-8DBF-A1399F2A44C5}" name="Context"/>
    <tableColumn id="2" xr3:uid="{2207BB62-08BD-4905-8ABA-004980A0FD6E}" name="Ref"/>
    <tableColumn id="4" xr3:uid="{6975B6D7-8F1F-472C-AE02-58A595979372}" name="F1"/>
    <tableColumn id="5" xr3:uid="{2503CFE0-53D6-4CAE-958E-FB49E83895AD}" name="F2"/>
    <tableColumn id="7" xr3:uid="{D5F2F703-04CB-4488-827A-30E918C81BAD}" name="F4"/>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64894F-203C-4D71-8C3E-4BC27295D1E2}" name="Table18" displayName="Table18" ref="B3:H10" totalsRowShown="0">
  <autoFilter ref="B3:H10" xr:uid="{A864894F-203C-4D71-8C3E-4BC27295D1E2}"/>
  <tableColumns count="7">
    <tableColumn id="2" xr3:uid="{9CC2A893-F4DB-4843-BB26-766EB3614C14}" name="Context"/>
    <tableColumn id="3" xr3:uid="{4765A838-53A2-4734-AB48-F22714FCEF01}" name="FldType"/>
    <tableColumn id="4" xr3:uid="{E0918DF0-A236-4030-8601-3299BB1A2BED}" name="ValueDataTypeValidation"/>
    <tableColumn id="7" xr3:uid="{3CC55C7C-9D0A-491E-AE00-F2F609BF14DD}" name="FldTypeDescription"/>
    <tableColumn id="5" xr3:uid="{D63B22DC-25BA-48A7-9D72-A51EA1DD929E}" name="NAMES"/>
    <tableColumn id="6" xr3:uid="{A65E4544-3D03-4007-9D60-CE3D516A4135}" name="NameDescription"/>
    <tableColumn id="1" xr3:uid="{22B32A92-548A-4C0D-9188-B3D1E7518E37}" name="ValueDescript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4BA3DCC-4104-4C23-AD47-5BF07C417287}" name="XPtbl" displayName="XPtbl" ref="A2:U50" totalsRowShown="0" headerRowDxfId="25" headerRowBorderDxfId="24">
  <tableColumns count="21">
    <tableColumn id="1" xr3:uid="{CA453921-1FE8-4042-9775-73616984FA9B}" name="LT" dataDxfId="23"/>
    <tableColumn id="2" xr3:uid="{97EDDB0E-53D3-4391-9D18-938E60DD06DC}" name="Field" dataDxfId="22"/>
    <tableColumn id="3" xr3:uid="{6898E459-12D7-41EB-9A02-6DDDD414C356}" name="Type"/>
    <tableColumn id="4" xr3:uid="{EC00A21C-F13C-47B4-9DBD-6D9BC011F810}" name="Len" dataDxfId="21"/>
    <tableColumn id="10" xr3:uid="{385299E5-26ED-4906-81B9-6C59CD4D8F55}" name="Min" dataDxfId="20"/>
    <tableColumn id="9" xr3:uid="{48898147-6C7B-46BB-9805-65308D8314C4}" name="Max" dataDxfId="19"/>
    <tableColumn id="5" xr3:uid="{77CE051A-C435-4447-BF02-BCD60A6049D3}" name="LC" dataDxfId="18"/>
    <tableColumn id="11" xr3:uid="{C5EC8B02-7571-43B4-86F0-F65B6211F316}" name="valid" dataDxfId="17"/>
    <tableColumn id="6" xr3:uid="{A6897564-0F12-4A26-8976-D98D51F34F30}" name="Description" dataDxfId="16"/>
    <tableColumn id="7" xr3:uid="{FE1B937A-C77B-4B18-B6BB-2B964B55BC7D}" name="Data" dataDxfId="15"/>
    <tableColumn id="12" xr3:uid="{420699EB-B595-452B-B09C-0EAE23C3BF45}" name="Context" dataDxfId="14"/>
    <tableColumn id="15" xr3:uid="{1C4FAB92-A225-4BF4-8CD3-4F50E3D8BCEA}" name="Lev" dataDxfId="13"/>
    <tableColumn id="8" xr3:uid="{F3382D55-4BA7-488A-B19E-AAA9CFF65943}" name="listlu" dataDxfId="12">
      <calculatedColumnFormula>IF(RIGHT(XPtbl[[#This Row],[valid]],4)&lt;&gt;"list",0,IFERROR(MATCH(XPtbl[[#This Row],[Context]]&amp;"|"&amp;XPtbl[[#This Row],[Field]],Ltbl[ind],0),IFERROR(MATCH("ALL|"&amp;XPtbl[[#This Row],[Field]],Ltbl[ind],0),-1)))</calculatedColumnFormula>
    </tableColumn>
    <tableColumn id="14" xr3:uid="{1E2B564C-44D7-40EA-B1CA-F4C2F2B9AAB9}" name="liMatch" dataDxfId="11">
      <calculatedColumnFormula array="1">IF(XPtbl[[#This Row],[listlu]]&lt;1,"",IF(INDEX(Ltbl[Generic],XPtbl[[#This Row],[listlu]])="","",INDEX(Ltbl[RetData],XPtbl[[#This Row],[listlu]])))</calculatedColumnFormula>
    </tableColumn>
    <tableColumn id="16" xr3:uid="{720C3BCF-4D4E-49E7-907D-DAE482058C11}" name="lisCount" dataDxfId="10">
      <calculatedColumnFormula>IF(AND(XPtbl[[#This Row],[listlu]],ISERROR(FIND(",",XPtbl[[#This Row],[liMatch]])),XPtbl[[#This Row],[liMatch]]&lt;&gt;""),1,0)</calculatedColumnFormula>
    </tableColumn>
    <tableColumn id="13" xr3:uid="{D90923D2-F76C-4A9A-9B8A-F090FEC0A457}" name="reflu" dataDxfId="9">
      <calculatedColumnFormula>IF(AND(XPtbl[[#This Row],[LT]]="Ref",ISNA(MATCH(XPtbl[[#This Row],[Field]],rTbl[Ref],0))),1,0)</calculatedColumnFormula>
    </tableColumn>
    <tableColumn id="17" xr3:uid="{43C9063E-8438-4206-ADB2-EFC975AFF170}" name="Hierarchy" dataDxfId="8">
      <calculatedColumnFormula>IF(ROW()=3,IF(XPtbl[[#This Row],[LT]]="H",XPtbl[[#This Row],[Field]]&amp;"|","|"),IF(XPtbl[[#This Row],[LT]]="H",XPtbl[[#This Row],[Field]]&amp;"|"&amp;OFFSET(XPtbl[[#This Row],[Hierarchy]],-1,0),IF(XPtbl[[#This Row],[LT]]&lt;&gt;"!H",OFFSET(XPtbl[[#This Row],[Hierarchy]],-1,0),RIGHT(OFFSET(XPtbl[[#This Row],[Hierarchy]],-1,0),LEN(OFFSET(XPtbl[[#This Row],[Hierarchy]],-1,0))-LEN(XPtbl[[#This Row],[Field]])-1))))</calculatedColumnFormula>
    </tableColumn>
    <tableColumn id="20" xr3:uid="{8D9117AF-8D60-4208-8832-55FD37D10B3F}" name="pipe1" dataDxfId="7">
      <calculatedColumnFormula>FIND("~",SUBSTITUTE(XPtbl[[#This Row],[Hierarchy]],"|","~",1))</calculatedColumnFormula>
    </tableColumn>
    <tableColumn id="21" xr3:uid="{F5412E51-0CB8-4EE4-BF15-928D4C6EBF8E}" name="pipe2" dataDxfId="6">
      <calculatedColumnFormula>FIND("~",SUBSTITUTE(XPtbl[[#This Row],[Hierarchy]],"|","~",2))</calculatedColumnFormula>
    </tableColumn>
    <tableColumn id="18" xr3:uid="{DC3756A0-35D8-4899-92F7-6FEB6EBC6A78}" name="ListT" dataDxfId="5">
      <calculatedColumnFormula array="1">IF(XPtbl[[#This Row],[listlu]]=0,0,IF(INDEX(Ltbl[Context],XPtbl[[#This Row],[listlu]],1)="ALL",1,2))</calculatedColumnFormula>
    </tableColumn>
    <tableColumn id="19" xr3:uid="{EAF91A4A-1566-43E3-BAF7-C2F4DF29E198}" name="Comments" dataDxfId="4"/>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8CB8C6A-F672-454D-82BB-8EEB6B7219E1}" name="Table12" displayName="Table12" ref="B3:D12" totalsRowShown="0" dataDxfId="3">
  <autoFilter ref="B3:D12" xr:uid="{A8CB8C6A-F672-454D-82BB-8EEB6B7219E1}"/>
  <sortState xmlns:xlrd2="http://schemas.microsoft.com/office/spreadsheetml/2017/richdata2" ref="B4:D12">
    <sortCondition descending="1" ref="B3:B12"/>
  </sortState>
  <tableColumns count="3">
    <tableColumn id="1" xr3:uid="{6A82AA19-AC86-4296-BCB3-276C9247C320}" name="Version" dataDxfId="2"/>
    <tableColumn id="2" xr3:uid="{215C487B-EDFE-45BD-98A7-4ECAAF06A950}" name="Date" dataDxfId="1"/>
    <tableColumn id="3" xr3:uid="{20D44CE7-56A9-4E76-ADCE-4A3EBD2E218F}" name="Description" dataDxfId="0"/>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C227C-0D13-4483-8798-33F027884F95}">
  <sheetPr codeName="Sheet3">
    <tabColor rgb="FF92D050"/>
  </sheetPr>
  <dimension ref="A1:U53"/>
  <sheetViews>
    <sheetView zoomScale="110" zoomScaleNormal="110" workbookViewId="0">
      <pane ySplit="2" topLeftCell="A3" activePane="bottomLeft" state="frozen"/>
      <selection pane="bottomLeft" activeCell="I19" sqref="I19"/>
    </sheetView>
  </sheetViews>
  <sheetFormatPr defaultRowHeight="15"/>
  <cols>
    <col min="1" max="1" width="5" customWidth="1"/>
    <col min="2" max="2" width="23" customWidth="1"/>
    <col min="4" max="4" width="6.42578125" customWidth="1"/>
    <col min="5" max="6" width="4.7109375" customWidth="1"/>
    <col min="7" max="7" width="1" customWidth="1"/>
    <col min="8" max="8" width="10.140625" customWidth="1"/>
    <col min="9" max="9" width="56.7109375" customWidth="1"/>
    <col min="10" max="10" width="43.5703125" customWidth="1"/>
    <col min="11" max="11" width="13.42578125" customWidth="1"/>
    <col min="12" max="12" width="5.5703125" customWidth="1"/>
    <col min="13" max="16" width="9.140625" hidden="1" customWidth="1"/>
    <col min="17" max="17" width="27.7109375" hidden="1" customWidth="1"/>
    <col min="18" max="20" width="9.140625" hidden="1" customWidth="1"/>
    <col min="21" max="21" width="58.42578125" customWidth="1"/>
  </cols>
  <sheetData>
    <row r="1" spans="1:21" ht="25.5" customHeight="1">
      <c r="I1" s="16" t="str">
        <f>IF(COUNTIFS(fTbl[LT],"H")&lt;&gt;COUNTIFS(fTbl[LT],"!H"),"Header imbalance # H &lt;&gt; # !H","")</f>
        <v/>
      </c>
    </row>
    <row r="2" spans="1:21">
      <c r="A2" s="14" t="s">
        <v>0</v>
      </c>
      <c r="B2" s="11" t="s">
        <v>1</v>
      </c>
      <c r="C2" s="11" t="s">
        <v>2</v>
      </c>
      <c r="D2" s="12" t="s">
        <v>3</v>
      </c>
      <c r="E2" s="12" t="s">
        <v>4</v>
      </c>
      <c r="F2" s="12" t="s">
        <v>5</v>
      </c>
      <c r="G2" s="12" t="s">
        <v>6</v>
      </c>
      <c r="H2" s="12" t="s">
        <v>7</v>
      </c>
      <c r="I2" s="18" t="s">
        <v>8</v>
      </c>
      <c r="J2" s="17" t="s">
        <v>9</v>
      </c>
      <c r="K2" s="30" t="s">
        <v>10</v>
      </c>
      <c r="L2" s="31" t="s">
        <v>11</v>
      </c>
      <c r="M2" s="13" t="s">
        <v>12</v>
      </c>
      <c r="N2" s="13" t="s">
        <v>13</v>
      </c>
      <c r="O2" s="13" t="s">
        <v>14</v>
      </c>
      <c r="P2" s="13" t="s">
        <v>15</v>
      </c>
      <c r="Q2" s="13" t="s">
        <v>16</v>
      </c>
      <c r="R2" s="13" t="s">
        <v>17</v>
      </c>
      <c r="S2" s="13" t="s">
        <v>18</v>
      </c>
      <c r="T2" s="13" t="s">
        <v>19</v>
      </c>
      <c r="U2" s="13" t="s">
        <v>20</v>
      </c>
    </row>
    <row r="3" spans="1:21">
      <c r="A3" s="15" t="s">
        <v>21</v>
      </c>
      <c r="B3" t="s">
        <v>22</v>
      </c>
      <c r="D3" s="1"/>
      <c r="E3" s="1">
        <v>1</v>
      </c>
      <c r="F3" s="1" t="s">
        <v>23</v>
      </c>
      <c r="G3" s="1"/>
      <c r="H3" s="1"/>
      <c r="I3" s="19" t="s">
        <v>24</v>
      </c>
      <c r="J3" s="28"/>
      <c r="K3" t="str">
        <f ca="1">IFERROR(IF(fTbl[[#This Row],[LT]]="H",MID(fTbl[[#This Row],[Hierarchy]],fTbl[[#This Row],[pipe1]]+1,fTbl[[#This Row],[pipe2]]-fTbl[[#This Row],[pipe1]]-1),LEFT(fTbl[[#This Row],[Hierarchy]],FIND("|",fTbl[[#This Row],[Hierarchy]])-1)),"")</f>
        <v/>
      </c>
      <c r="L3" s="1">
        <f ca="1">IF(ROW()=3,0,OFFSET(fTbl[[#This Row],[Lev]],-1,0)+IF(OFFSET(fTbl[[#This Row],[LT]],-1,0)="H",1,IF(fTbl[[#This Row],[LT]]="!H",-1,0)))</f>
        <v>0</v>
      </c>
      <c r="M3">
        <f>IF(RIGHT(fTbl[[#This Row],[valid]],4)&lt;&gt;"list",0,IFERROR(MATCH(fTbl[[#This Row],[Context]]&amp;"|"&amp;fTbl[[#This Row],[Field]],Ltbl[ind],0),IFERROR(MATCH("ALL|"&amp;fTbl[[#This Row],[Field]],Ltbl[ind],0),-1)))</f>
        <v>0</v>
      </c>
      <c r="N3" t="str" cm="1">
        <f t="array" ref="N3">IF(fTbl[[#This Row],[listlu]]&lt;1,"",IF(INDEX(Ltbl[Generic],fTbl[[#This Row],[listlu]])="","",INDEX(Ltbl[Generic],fTbl[[#This Row],[listlu]])))</f>
        <v/>
      </c>
      <c r="O3">
        <f>IF(AND(fTbl[[#This Row],[listlu]],ISERROR(FIND(",",fTbl[[#This Row],[liMatch]])),fTbl[[#This Row],[liMatch]]&lt;&gt;""),1,0)</f>
        <v>0</v>
      </c>
      <c r="P3">
        <f>IF(AND(fTbl[[#This Row],[LT]]="Ref",ISNA(MATCH(fTbl[[#This Row],[Field]],rTbl[Ref],0))),1,0)</f>
        <v>0</v>
      </c>
      <c r="Q3" t="str">
        <f ca="1">IF(ROW()=3,IF(fTbl[[#This Row],[LT]]="H",fTbl[[#This Row],[Field]]&amp;"|","|"),IF(fTbl[[#This Row],[LT]]="H",fTbl[[#This Row],[Field]]&amp;"|"&amp;OFFSET(fTbl[[#This Row],[Hierarchy]],-1,0),IF(fTbl[[#This Row],[LT]]&lt;&gt;"!H",OFFSET(fTbl[[#This Row],[Hierarchy]],-1,0),RIGHT(OFFSET(fTbl[[#This Row],[Hierarchy]],-1,0),LEN(OFFSET(fTbl[[#This Row],[Hierarchy]],-1,0))-LEN(fTbl[[#This Row],[Field]])-1))))</f>
        <v>oOrders|</v>
      </c>
      <c r="R3">
        <f ca="1">FIND("~",SUBSTITUTE(fTbl[[#This Row],[Hierarchy]],"|","~",1))</f>
        <v>8</v>
      </c>
      <c r="S3" t="e">
        <f ca="1">FIND("~",SUBSTITUTE(fTbl[[#This Row],[Hierarchy]],"|","~",2))</f>
        <v>#VALUE!</v>
      </c>
      <c r="T3" cm="1">
        <f t="array" ref="T3">IF(fTbl[[#This Row],[listlu]]=0,0,IF(INDEX(Ltbl[Context],fTbl[[#This Row],[listlu]],1)="ALL",1,2))</f>
        <v>0</v>
      </c>
      <c r="U3" s="29"/>
    </row>
    <row r="4" spans="1:21">
      <c r="A4" s="15" t="s">
        <v>25</v>
      </c>
      <c r="B4" t="s">
        <v>26</v>
      </c>
      <c r="D4" s="1"/>
      <c r="E4" s="1"/>
      <c r="F4" s="1"/>
      <c r="G4" s="1"/>
      <c r="H4" s="1"/>
      <c r="I4" s="19" t="s">
        <v>27</v>
      </c>
      <c r="J4" s="28"/>
      <c r="K4" t="str">
        <f ca="1">IFERROR(IF(fTbl[[#This Row],[LT]]="H",MID(fTbl[[#This Row],[Hierarchy]],fTbl[[#This Row],[pipe1]]+1,fTbl[[#This Row],[pipe2]]-fTbl[[#This Row],[pipe1]]-1),LEFT(fTbl[[#This Row],[Hierarchy]],FIND("|",fTbl[[#This Row],[Hierarchy]])-1)),"")</f>
        <v>oOrders</v>
      </c>
      <c r="L4" s="1">
        <f ca="1">IF(ROW()=3,0,OFFSET(fTbl[[#This Row],[Lev]],-1,0)+IF(OFFSET(fTbl[[#This Row],[LT]],-1,0)="H",1,IF(fTbl[[#This Row],[LT]]="!H",-1,0)))</f>
        <v>1</v>
      </c>
      <c r="M4">
        <f>IF(RIGHT(fTbl[[#This Row],[valid]],4)&lt;&gt;"list",0,IFERROR(MATCH(fTbl[[#This Row],[Context]]&amp;"|"&amp;fTbl[[#This Row],[Field]],Ltbl[ind],0),IFERROR(MATCH("ALL|"&amp;fTbl[[#This Row],[Field]],Ltbl[ind],0),-1)))</f>
        <v>0</v>
      </c>
      <c r="N4" t="str" cm="1">
        <f t="array" ref="N4">IF(fTbl[[#This Row],[listlu]]&lt;1,"",IF(INDEX(Ltbl[Generic],fTbl[[#This Row],[listlu]])="","",INDEX(Ltbl[Generic],fTbl[[#This Row],[listlu]])))</f>
        <v/>
      </c>
      <c r="O4">
        <f>IF(AND(fTbl[[#This Row],[listlu]],ISERROR(FIND(",",fTbl[[#This Row],[liMatch]])),fTbl[[#This Row],[liMatch]]&lt;&gt;""),1,0)</f>
        <v>0</v>
      </c>
      <c r="P4">
        <f>IF(AND(fTbl[[#This Row],[LT]]="Ref",ISNA(MATCH(fTbl[[#This Row],[Field]],rTbl[Ref],0))),1,0)</f>
        <v>0</v>
      </c>
      <c r="Q4" t="str">
        <f ca="1">IF(ROW()=3,IF(fTbl[[#This Row],[LT]]="H",fTbl[[#This Row],[Field]]&amp;"|","|"),IF(fTbl[[#This Row],[LT]]="H",fTbl[[#This Row],[Field]]&amp;"|"&amp;OFFSET(fTbl[[#This Row],[Hierarchy]],-1,0),IF(fTbl[[#This Row],[LT]]&lt;&gt;"!H",OFFSET(fTbl[[#This Row],[Hierarchy]],-1,0),RIGHT(OFFSET(fTbl[[#This Row],[Hierarchy]],-1,0),LEN(OFFSET(fTbl[[#This Row],[Hierarchy]],-1,0))-LEN(fTbl[[#This Row],[Field]])-1))))</f>
        <v>oOrders|</v>
      </c>
      <c r="R4">
        <f ca="1">FIND("~",SUBSTITUTE(fTbl[[#This Row],[Hierarchy]],"|","~",1))</f>
        <v>8</v>
      </c>
      <c r="S4" t="e">
        <f ca="1">FIND("~",SUBSTITUTE(fTbl[[#This Row],[Hierarchy]],"|","~",2))</f>
        <v>#VALUE!</v>
      </c>
      <c r="T4" cm="1">
        <f t="array" ref="T4">IF(fTbl[[#This Row],[listlu]]=0,0,IF(INDEX(Ltbl[Context],fTbl[[#This Row],[listlu]],1)="ALL",1,2))</f>
        <v>0</v>
      </c>
      <c r="U4" s="29"/>
    </row>
    <row r="5" spans="1:21">
      <c r="A5" s="15" t="s">
        <v>28</v>
      </c>
      <c r="B5" t="s">
        <v>29</v>
      </c>
      <c r="C5" t="s">
        <v>30</v>
      </c>
      <c r="D5" s="1">
        <v>15</v>
      </c>
      <c r="E5" s="1">
        <v>1</v>
      </c>
      <c r="F5" s="1"/>
      <c r="G5" s="1"/>
      <c r="H5" s="1" t="s">
        <v>31</v>
      </c>
      <c r="I5" s="19" t="s">
        <v>32</v>
      </c>
      <c r="J5" s="28" t="s">
        <v>33</v>
      </c>
      <c r="K5" t="str">
        <f ca="1">IFERROR(IF(fTbl[[#This Row],[LT]]="H",MID(fTbl[[#This Row],[Hierarchy]],fTbl[[#This Row],[pipe1]]+1,fTbl[[#This Row],[pipe2]]-fTbl[[#This Row],[pipe1]]-1),LEFT(fTbl[[#This Row],[Hierarchy]],FIND("|",fTbl[[#This Row],[Hierarchy]])-1)),"")</f>
        <v>oOrders</v>
      </c>
      <c r="L5" s="1">
        <f ca="1">IF(ROW()=3,0,OFFSET(fTbl[[#This Row],[Lev]],-1,0)+IF(OFFSET(fTbl[[#This Row],[LT]],-1,0)="H",1,IF(fTbl[[#This Row],[LT]]="!H",-1,0)))</f>
        <v>1</v>
      </c>
      <c r="M5">
        <f ca="1">IF(RIGHT(fTbl[[#This Row],[valid]],4)&lt;&gt;"list",0,IFERROR(MATCH(fTbl[[#This Row],[Context]]&amp;"|"&amp;fTbl[[#This Row],[Field]],Ltbl[ind],0),IFERROR(MATCH("ALL|"&amp;fTbl[[#This Row],[Field]],Ltbl[ind],0),-1)))</f>
        <v>1</v>
      </c>
      <c r="N5" t="str" cm="1">
        <f t="array" aca="1" ref="N5" ca="1">IF(fTbl[[#This Row],[listlu]]&lt;1,"",IF(INDEX(Ltbl[Generic],fTbl[[#This Row],[listlu]])="","",INDEX(Ltbl[Generic],fTbl[[#This Row],[listlu]])))</f>
        <v>CUST</v>
      </c>
      <c r="O5">
        <f ca="1">IF(AND(fTbl[[#This Row],[listlu]],ISERROR(FIND(",",fTbl[[#This Row],[liMatch]])),fTbl[[#This Row],[liMatch]]&lt;&gt;""),1,0)</f>
        <v>1</v>
      </c>
      <c r="P5">
        <f>IF(AND(fTbl[[#This Row],[LT]]="Ref",ISNA(MATCH(fTbl[[#This Row],[Field]],rTbl[Ref],0))),1,0)</f>
        <v>0</v>
      </c>
      <c r="Q5" t="str">
        <f ca="1">IF(ROW()=3,IF(fTbl[[#This Row],[LT]]="H",fTbl[[#This Row],[Field]]&amp;"|","|"),IF(fTbl[[#This Row],[LT]]="H",fTbl[[#This Row],[Field]]&amp;"|"&amp;OFFSET(fTbl[[#This Row],[Hierarchy]],-1,0),IF(fTbl[[#This Row],[LT]]&lt;&gt;"!H",OFFSET(fTbl[[#This Row],[Hierarchy]],-1,0),RIGHT(OFFSET(fTbl[[#This Row],[Hierarchy]],-1,0),LEN(OFFSET(fTbl[[#This Row],[Hierarchy]],-1,0))-LEN(fTbl[[#This Row],[Field]])-1))))</f>
        <v>oOrders|</v>
      </c>
      <c r="R5">
        <f ca="1">FIND("~",SUBSTITUTE(fTbl[[#This Row],[Hierarchy]],"|","~",1))</f>
        <v>8</v>
      </c>
      <c r="S5" t="e">
        <f ca="1">FIND("~",SUBSTITUTE(fTbl[[#This Row],[Hierarchy]],"|","~",2))</f>
        <v>#VALUE!</v>
      </c>
      <c r="T5" cm="1">
        <f t="array" aca="1" ref="T5" ca="1">IF(fTbl[[#This Row],[listlu]]=0,0,IF(INDEX(Ltbl[Context],fTbl[[#This Row],[listlu]],1)="ALL",1,2))</f>
        <v>1</v>
      </c>
      <c r="U5" s="29"/>
    </row>
    <row r="6" spans="1:21">
      <c r="A6" s="15" t="s">
        <v>28</v>
      </c>
      <c r="B6" t="s">
        <v>34</v>
      </c>
      <c r="C6" t="s">
        <v>30</v>
      </c>
      <c r="D6" s="1">
        <v>15</v>
      </c>
      <c r="E6" s="1">
        <v>1</v>
      </c>
      <c r="F6" s="1"/>
      <c r="G6" s="1"/>
      <c r="H6" s="1" t="s">
        <v>31</v>
      </c>
      <c r="I6" s="19" t="s">
        <v>35</v>
      </c>
      <c r="J6" s="27" t="s">
        <v>36</v>
      </c>
      <c r="K6" t="str">
        <f ca="1">IFERROR(IF(fTbl[[#This Row],[LT]]="H",MID(fTbl[[#This Row],[Hierarchy]],fTbl[[#This Row],[pipe1]]+1,fTbl[[#This Row],[pipe2]]-fTbl[[#This Row],[pipe1]]-1),LEFT(fTbl[[#This Row],[Hierarchy]],FIND("|",fTbl[[#This Row],[Hierarchy]])-1)),"")</f>
        <v>oOrders</v>
      </c>
      <c r="L6" s="1">
        <f ca="1">IF(ROW()=3,0,OFFSET(fTbl[[#This Row],[Lev]],-1,0)+IF(OFFSET(fTbl[[#This Row],[LT]],-1,0)="H",1,IF(fTbl[[#This Row],[LT]]="!H",-1,0)))</f>
        <v>1</v>
      </c>
      <c r="M6">
        <f ca="1">IF(RIGHT(fTbl[[#This Row],[valid]],4)&lt;&gt;"list",0,IFERROR(MATCH(fTbl[[#This Row],[Context]]&amp;"|"&amp;fTbl[[#This Row],[Field]],Ltbl[ind],0),IFERROR(MATCH("ALL|"&amp;fTbl[[#This Row],[Field]],Ltbl[ind],0),-1)))</f>
        <v>6</v>
      </c>
      <c r="N6" t="str" cm="1">
        <f t="array" aca="1" ref="N6" ca="1">IF(fTbl[[#This Row],[listlu]]&lt;1,"",IF(INDEX(Ltbl[Generic],fTbl[[#This Row],[listlu]])="","",INDEX(Ltbl[Generic],fTbl[[#This Row],[listlu]])))</f>
        <v>NORTHAMPTON</v>
      </c>
      <c r="O6">
        <f ca="1">IF(AND(fTbl[[#This Row],[listlu]],ISERROR(FIND(",",fTbl[[#This Row],[liMatch]])),fTbl[[#This Row],[liMatch]]&lt;&gt;""),1,0)</f>
        <v>1</v>
      </c>
      <c r="P6">
        <f>IF(AND(fTbl[[#This Row],[LT]]="Ref",ISNA(MATCH(fTbl[[#This Row],[Field]],rTbl[Ref],0))),1,0)</f>
        <v>0</v>
      </c>
      <c r="Q6" t="str">
        <f ca="1">IF(ROW()=3,IF(fTbl[[#This Row],[LT]]="H",fTbl[[#This Row],[Field]]&amp;"|","|"),IF(fTbl[[#This Row],[LT]]="H",fTbl[[#This Row],[Field]]&amp;"|"&amp;OFFSET(fTbl[[#This Row],[Hierarchy]],-1,0),IF(fTbl[[#This Row],[LT]]&lt;&gt;"!H",OFFSET(fTbl[[#This Row],[Hierarchy]],-1,0),RIGHT(OFFSET(fTbl[[#This Row],[Hierarchy]],-1,0),LEN(OFFSET(fTbl[[#This Row],[Hierarchy]],-1,0))-LEN(fTbl[[#This Row],[Field]])-1))))</f>
        <v>oOrders|</v>
      </c>
      <c r="R6">
        <f ca="1">FIND("~",SUBSTITUTE(fTbl[[#This Row],[Hierarchy]],"|","~",1))</f>
        <v>8</v>
      </c>
      <c r="S6" t="e">
        <f ca="1">FIND("~",SUBSTITUTE(fTbl[[#This Row],[Hierarchy]],"|","~",2))</f>
        <v>#VALUE!</v>
      </c>
      <c r="T6" cm="1">
        <f t="array" aca="1" ref="T6" ca="1">IF(fTbl[[#This Row],[listlu]]=0,0,IF(INDEX(Ltbl[Context],fTbl[[#This Row],[listlu]],1)="ALL",1,2))</f>
        <v>1</v>
      </c>
      <c r="U6" s="29"/>
    </row>
    <row r="7" spans="1:21">
      <c r="A7" s="15" t="s">
        <v>28</v>
      </c>
      <c r="B7" t="s">
        <v>37</v>
      </c>
      <c r="C7" t="s">
        <v>30</v>
      </c>
      <c r="D7" s="1">
        <v>15</v>
      </c>
      <c r="E7" s="1">
        <v>1</v>
      </c>
      <c r="F7" s="1"/>
      <c r="G7" s="1"/>
      <c r="H7" s="1" t="s">
        <v>31</v>
      </c>
      <c r="I7" s="19" t="s">
        <v>38</v>
      </c>
      <c r="J7" s="28" t="s">
        <v>39</v>
      </c>
      <c r="K7" t="str">
        <f ca="1">IFERROR(IF(fTbl[[#This Row],[LT]]="H",MID(fTbl[[#This Row],[Hierarchy]],fTbl[[#This Row],[pipe1]]+1,fTbl[[#This Row],[pipe2]]-fTbl[[#This Row],[pipe1]]-1),LEFT(fTbl[[#This Row],[Hierarchy]],FIND("|",fTbl[[#This Row],[Hierarchy]])-1)),"")</f>
        <v>oOrders</v>
      </c>
      <c r="L7" s="1">
        <f ca="1">IF(ROW()=3,0,OFFSET(fTbl[[#This Row],[Lev]],-1,0)+IF(OFFSET(fTbl[[#This Row],[LT]],-1,0)="H",1,IF(fTbl[[#This Row],[LT]]="!H",-1,0)))</f>
        <v>1</v>
      </c>
      <c r="M7">
        <f ca="1">IF(RIGHT(fTbl[[#This Row],[valid]],4)&lt;&gt;"list",0,IFERROR(MATCH(fTbl[[#This Row],[Context]]&amp;"|"&amp;fTbl[[#This Row],[Field]],Ltbl[ind],0),IFERROR(MATCH("ALL|"&amp;fTbl[[#This Row],[Field]],Ltbl[ind],0),-1)))</f>
        <v>9</v>
      </c>
      <c r="N7" t="str" cm="1">
        <f t="array" aca="1" ref="N7" ca="1">IF(fTbl[[#This Row],[listlu]]&lt;1,"",IF(INDEX(Ltbl[Generic],fTbl[[#This Row],[listlu]])="","",INDEX(Ltbl[Generic],fTbl[[#This Row],[listlu]])))</f>
        <v>ECOM,WS,BULK</v>
      </c>
      <c r="O7">
        <f ca="1">IF(AND(fTbl[[#This Row],[listlu]],ISERROR(FIND(",",fTbl[[#This Row],[liMatch]])),fTbl[[#This Row],[liMatch]]&lt;&gt;""),1,0)</f>
        <v>0</v>
      </c>
      <c r="P7">
        <f>IF(AND(fTbl[[#This Row],[LT]]="Ref",ISNA(MATCH(fTbl[[#This Row],[Field]],rTbl[Ref],0))),1,0)</f>
        <v>0</v>
      </c>
      <c r="Q7" t="str">
        <f ca="1">IF(ROW()=3,IF(fTbl[[#This Row],[LT]]="H",fTbl[[#This Row],[Field]]&amp;"|","|"),IF(fTbl[[#This Row],[LT]]="H",fTbl[[#This Row],[Field]]&amp;"|"&amp;OFFSET(fTbl[[#This Row],[Hierarchy]],-1,0),IF(fTbl[[#This Row],[LT]]&lt;&gt;"!H",OFFSET(fTbl[[#This Row],[Hierarchy]],-1,0),RIGHT(OFFSET(fTbl[[#This Row],[Hierarchy]],-1,0),LEN(OFFSET(fTbl[[#This Row],[Hierarchy]],-1,0))-LEN(fTbl[[#This Row],[Field]])-1))))</f>
        <v>oOrders|</v>
      </c>
      <c r="R7">
        <f ca="1">FIND("~",SUBSTITUTE(fTbl[[#This Row],[Hierarchy]],"|","~",1))</f>
        <v>8</v>
      </c>
      <c r="S7" t="e">
        <f ca="1">FIND("~",SUBSTITUTE(fTbl[[#This Row],[Hierarchy]],"|","~",2))</f>
        <v>#VALUE!</v>
      </c>
      <c r="T7" cm="1">
        <f t="array" aca="1" ref="T7" ca="1">IF(fTbl[[#This Row],[listlu]]=0,0,IF(INDEX(Ltbl[Context],fTbl[[#This Row],[listlu]],1)="ALL",1,2))</f>
        <v>1</v>
      </c>
      <c r="U7" s="29"/>
    </row>
    <row r="8" spans="1:21">
      <c r="A8" s="15" t="s">
        <v>28</v>
      </c>
      <c r="B8" t="s">
        <v>40</v>
      </c>
      <c r="C8" t="s">
        <v>30</v>
      </c>
      <c r="D8" s="1">
        <v>250</v>
      </c>
      <c r="E8" s="1">
        <v>0</v>
      </c>
      <c r="F8" s="1"/>
      <c r="G8" s="1"/>
      <c r="H8" s="1"/>
      <c r="I8" s="19" t="s">
        <v>41</v>
      </c>
      <c r="J8" s="28" t="s">
        <v>42</v>
      </c>
      <c r="K8" t="str">
        <f ca="1">IFERROR(IF(fTbl[[#This Row],[LT]]="H",MID(fTbl[[#This Row],[Hierarchy]],fTbl[[#This Row],[pipe1]]+1,fTbl[[#This Row],[pipe2]]-fTbl[[#This Row],[pipe1]]-1),LEFT(fTbl[[#This Row],[Hierarchy]],FIND("|",fTbl[[#This Row],[Hierarchy]])-1)),"")</f>
        <v>oOrders</v>
      </c>
      <c r="L8" s="1">
        <f ca="1">IF(ROW()=3,0,OFFSET(fTbl[[#This Row],[Lev]],-1,0)+IF(OFFSET(fTbl[[#This Row],[LT]],-1,0)="H",1,IF(fTbl[[#This Row],[LT]]="!H",-1,0)))</f>
        <v>1</v>
      </c>
      <c r="M8">
        <f>IF(RIGHT(fTbl[[#This Row],[valid]],4)&lt;&gt;"list",0,IFERROR(MATCH(fTbl[[#This Row],[Context]]&amp;"|"&amp;fTbl[[#This Row],[Field]],Ltbl[ind],0),IFERROR(MATCH("ALL|"&amp;fTbl[[#This Row],[Field]],Ltbl[ind],0),-1)))</f>
        <v>0</v>
      </c>
      <c r="N8" t="str" cm="1">
        <f t="array" ref="N8">IF(fTbl[[#This Row],[listlu]]&lt;1,"",IF(INDEX(Ltbl[Generic],fTbl[[#This Row],[listlu]])="","",INDEX(Ltbl[Generic],fTbl[[#This Row],[listlu]])))</f>
        <v/>
      </c>
      <c r="O8">
        <f>IF(AND(fTbl[[#This Row],[listlu]],ISERROR(FIND(",",fTbl[[#This Row],[liMatch]])),fTbl[[#This Row],[liMatch]]&lt;&gt;""),1,0)</f>
        <v>0</v>
      </c>
      <c r="P8">
        <f>IF(AND(fTbl[[#This Row],[LT]]="Ref",ISNA(MATCH(fTbl[[#This Row],[Field]],rTbl[Ref],0))),1,0)</f>
        <v>0</v>
      </c>
      <c r="Q8" t="str">
        <f ca="1">IF(ROW()=3,IF(fTbl[[#This Row],[LT]]="H",fTbl[[#This Row],[Field]]&amp;"|","|"),IF(fTbl[[#This Row],[LT]]="H",fTbl[[#This Row],[Field]]&amp;"|"&amp;OFFSET(fTbl[[#This Row],[Hierarchy]],-1,0),IF(fTbl[[#This Row],[LT]]&lt;&gt;"!H",OFFSET(fTbl[[#This Row],[Hierarchy]],-1,0),RIGHT(OFFSET(fTbl[[#This Row],[Hierarchy]],-1,0),LEN(OFFSET(fTbl[[#This Row],[Hierarchy]],-1,0))-LEN(fTbl[[#This Row],[Field]])-1))))</f>
        <v>oOrders|</v>
      </c>
      <c r="R8">
        <f ca="1">FIND("~",SUBSTITUTE(fTbl[[#This Row],[Hierarchy]],"|","~",1))</f>
        <v>8</v>
      </c>
      <c r="S8" t="e">
        <f ca="1">FIND("~",SUBSTITUTE(fTbl[[#This Row],[Hierarchy]],"|","~",2))</f>
        <v>#VALUE!</v>
      </c>
      <c r="T8" cm="1">
        <f t="array" ref="T8">IF(fTbl[[#This Row],[listlu]]=0,0,IF(INDEX(Ltbl[Context],fTbl[[#This Row],[listlu]],1)="ALL",1,2))</f>
        <v>0</v>
      </c>
      <c r="U8" s="29"/>
    </row>
    <row r="9" spans="1:21">
      <c r="A9" s="15" t="s">
        <v>28</v>
      </c>
      <c r="B9" t="s">
        <v>43</v>
      </c>
      <c r="C9" t="s">
        <v>30</v>
      </c>
      <c r="D9" s="1">
        <v>50</v>
      </c>
      <c r="E9" s="1">
        <v>0</v>
      </c>
      <c r="F9" s="1"/>
      <c r="G9" s="1"/>
      <c r="H9" s="1"/>
      <c r="I9" s="19" t="s">
        <v>44</v>
      </c>
      <c r="J9" s="28" t="s">
        <v>45</v>
      </c>
      <c r="K9" t="str">
        <f ca="1">IFERROR(IF(fTbl[[#This Row],[LT]]="H",MID(fTbl[[#This Row],[Hierarchy]],fTbl[[#This Row],[pipe1]]+1,fTbl[[#This Row],[pipe2]]-fTbl[[#This Row],[pipe1]]-1),LEFT(fTbl[[#This Row],[Hierarchy]],FIND("|",fTbl[[#This Row],[Hierarchy]])-1)),"")</f>
        <v>oOrders</v>
      </c>
      <c r="L9" s="1">
        <f ca="1">IF(ROW()=3,0,OFFSET(fTbl[[#This Row],[Lev]],-1,0)+IF(OFFSET(fTbl[[#This Row],[LT]],-1,0)="H",1,IF(fTbl[[#This Row],[LT]]="!H",-1,0)))</f>
        <v>1</v>
      </c>
      <c r="M9">
        <f>IF(RIGHT(fTbl[[#This Row],[valid]],4)&lt;&gt;"list",0,IFERROR(MATCH(fTbl[[#This Row],[Context]]&amp;"|"&amp;fTbl[[#This Row],[Field]],Ltbl[ind],0),IFERROR(MATCH("ALL|"&amp;fTbl[[#This Row],[Field]],Ltbl[ind],0),-1)))</f>
        <v>0</v>
      </c>
      <c r="N9" t="str" cm="1">
        <f t="array" ref="N9">IF(fTbl[[#This Row],[listlu]]&lt;1,"",IF(INDEX(Ltbl[Generic],fTbl[[#This Row],[listlu]])="","",INDEX(Ltbl[Generic],fTbl[[#This Row],[listlu]])))</f>
        <v/>
      </c>
      <c r="O9">
        <f>IF(AND(fTbl[[#This Row],[listlu]],ISERROR(FIND(",",fTbl[[#This Row],[liMatch]])),fTbl[[#This Row],[liMatch]]&lt;&gt;""),1,0)</f>
        <v>0</v>
      </c>
      <c r="P9">
        <f>IF(AND(fTbl[[#This Row],[LT]]="Ref",ISNA(MATCH(fTbl[[#This Row],[Field]],rTbl[Ref],0))),1,0)</f>
        <v>0</v>
      </c>
      <c r="Q9" t="str">
        <f ca="1">IF(ROW()=3,IF(fTbl[[#This Row],[LT]]="H",fTbl[[#This Row],[Field]]&amp;"|","|"),IF(fTbl[[#This Row],[LT]]="H",fTbl[[#This Row],[Field]]&amp;"|"&amp;OFFSET(fTbl[[#This Row],[Hierarchy]],-1,0),IF(fTbl[[#This Row],[LT]]&lt;&gt;"!H",OFFSET(fTbl[[#This Row],[Hierarchy]],-1,0),RIGHT(OFFSET(fTbl[[#This Row],[Hierarchy]],-1,0),LEN(OFFSET(fTbl[[#This Row],[Hierarchy]],-1,0))-LEN(fTbl[[#This Row],[Field]])-1))))</f>
        <v>oOrders|</v>
      </c>
      <c r="R9">
        <f ca="1">FIND("~",SUBSTITUTE(fTbl[[#This Row],[Hierarchy]],"|","~",1))</f>
        <v>8</v>
      </c>
      <c r="S9" t="e">
        <f ca="1">FIND("~",SUBSTITUTE(fTbl[[#This Row],[Hierarchy]],"|","~",2))</f>
        <v>#VALUE!</v>
      </c>
      <c r="T9" cm="1">
        <f t="array" ref="T9">IF(fTbl[[#This Row],[listlu]]=0,0,IF(INDEX(Ltbl[Context],fTbl[[#This Row],[listlu]],1)="ALL",1,2))</f>
        <v>0</v>
      </c>
      <c r="U9" s="29"/>
    </row>
    <row r="10" spans="1:21">
      <c r="A10" s="15" t="s">
        <v>28</v>
      </c>
      <c r="B10" t="s">
        <v>46</v>
      </c>
      <c r="C10" t="s">
        <v>30</v>
      </c>
      <c r="D10" s="1">
        <v>20</v>
      </c>
      <c r="E10" s="1">
        <v>0</v>
      </c>
      <c r="F10" s="1"/>
      <c r="G10" s="1"/>
      <c r="H10" s="1" t="s">
        <v>31</v>
      </c>
      <c r="I10" s="19" t="s">
        <v>47</v>
      </c>
      <c r="J10" s="28" t="s">
        <v>48</v>
      </c>
      <c r="K10" t="str">
        <f ca="1">IFERROR(IF(fTbl[[#This Row],[LT]]="H",MID(fTbl[[#This Row],[Hierarchy]],fTbl[[#This Row],[pipe1]]+1,fTbl[[#This Row],[pipe2]]-fTbl[[#This Row],[pipe1]]-1),LEFT(fTbl[[#This Row],[Hierarchy]],FIND("|",fTbl[[#This Row],[Hierarchy]])-1)),"")</f>
        <v>oOrders</v>
      </c>
      <c r="L10" s="1">
        <f ca="1">IF(ROW()=3,0,OFFSET(fTbl[[#This Row],[Lev]],-1,0)+IF(OFFSET(fTbl[[#This Row],[LT]],-1,0)="H",1,IF(fTbl[[#This Row],[LT]]="!H",-1,0)))</f>
        <v>1</v>
      </c>
      <c r="M10">
        <f ca="1">IF(RIGHT(fTbl[[#This Row],[valid]],4)&lt;&gt;"list",0,IFERROR(MATCH(fTbl[[#This Row],[Context]]&amp;"|"&amp;fTbl[[#This Row],[Field]],Ltbl[ind],0),IFERROR(MATCH("ALL|"&amp;fTbl[[#This Row],[Field]],Ltbl[ind],0),-1)))</f>
        <v>4</v>
      </c>
      <c r="N10" t="str" cm="1">
        <f t="array" aca="1" ref="N10" ca="1">IF(fTbl[[#This Row],[listlu]]&lt;1,"",IF(INDEX(Ltbl[Generic],fTbl[[#This Row],[listlu]])="","",INDEX(Ltbl[Generic],fTbl[[#This Row],[listlu]])))</f>
        <v>ShopEU,ShopUK,NetSuite</v>
      </c>
      <c r="O10">
        <f ca="1">IF(AND(fTbl[[#This Row],[listlu]],ISERROR(FIND(",",fTbl[[#This Row],[liMatch]])),fTbl[[#This Row],[liMatch]]&lt;&gt;""),1,0)</f>
        <v>0</v>
      </c>
      <c r="P10">
        <f>IF(AND(fTbl[[#This Row],[LT]]="Ref",ISNA(MATCH(fTbl[[#This Row],[Field]],rTbl[Ref],0))),1,0)</f>
        <v>0</v>
      </c>
      <c r="Q10" t="str">
        <f ca="1">IF(ROW()=3,IF(fTbl[[#This Row],[LT]]="H",fTbl[[#This Row],[Field]]&amp;"|","|"),IF(fTbl[[#This Row],[LT]]="H",fTbl[[#This Row],[Field]]&amp;"|"&amp;OFFSET(fTbl[[#This Row],[Hierarchy]],-1,0),IF(fTbl[[#This Row],[LT]]&lt;&gt;"!H",OFFSET(fTbl[[#This Row],[Hierarchy]],-1,0),RIGHT(OFFSET(fTbl[[#This Row],[Hierarchy]],-1,0),LEN(OFFSET(fTbl[[#This Row],[Hierarchy]],-1,0))-LEN(fTbl[[#This Row],[Field]])-1))))</f>
        <v>oOrders|</v>
      </c>
      <c r="R10">
        <f ca="1">FIND("~",SUBSTITUTE(fTbl[[#This Row],[Hierarchy]],"|","~",1))</f>
        <v>8</v>
      </c>
      <c r="S10" t="e">
        <f ca="1">FIND("~",SUBSTITUTE(fTbl[[#This Row],[Hierarchy]],"|","~",2))</f>
        <v>#VALUE!</v>
      </c>
      <c r="T10" cm="1">
        <f t="array" aca="1" ref="T10" ca="1">IF(fTbl[[#This Row],[listlu]]=0,0,IF(INDEX(Ltbl[Context],fTbl[[#This Row],[listlu]],1)="ALL",1,2))</f>
        <v>1</v>
      </c>
      <c r="U10" s="29" t="s">
        <v>49</v>
      </c>
    </row>
    <row r="11" spans="1:21">
      <c r="A11" s="15" t="s">
        <v>28</v>
      </c>
      <c r="B11" t="s">
        <v>50</v>
      </c>
      <c r="C11" t="s">
        <v>30</v>
      </c>
      <c r="D11" s="1">
        <v>20</v>
      </c>
      <c r="E11" s="1">
        <v>0</v>
      </c>
      <c r="F11" s="1"/>
      <c r="G11" s="1"/>
      <c r="H11" s="1" t="s">
        <v>31</v>
      </c>
      <c r="I11" s="19" t="s">
        <v>51</v>
      </c>
      <c r="J11" s="28" t="s">
        <v>52</v>
      </c>
      <c r="K11" t="str">
        <f ca="1">IFERROR(IF(fTbl[[#This Row],[LT]]="H",MID(fTbl[[#This Row],[Hierarchy]],fTbl[[#This Row],[pipe1]]+1,fTbl[[#This Row],[pipe2]]-fTbl[[#This Row],[pipe1]]-1),LEFT(fTbl[[#This Row],[Hierarchy]],FIND("|",fTbl[[#This Row],[Hierarchy]])-1)),"")</f>
        <v>oOrders</v>
      </c>
      <c r="L11" s="1">
        <f ca="1">IF(ROW()=3,0,OFFSET(fTbl[[#This Row],[Lev]],-1,0)+IF(OFFSET(fTbl[[#This Row],[LT]],-1,0)="H",1,IF(fTbl[[#This Row],[LT]]="!H",-1,0)))</f>
        <v>1</v>
      </c>
      <c r="M11">
        <f ca="1">IF(RIGHT(fTbl[[#This Row],[valid]],4)&lt;&gt;"list",0,IFERROR(MATCH(fTbl[[#This Row],[Context]]&amp;"|"&amp;fTbl[[#This Row],[Field]],Ltbl[ind],0),IFERROR(MATCH("ALL|"&amp;fTbl[[#This Row],[Field]],Ltbl[ind],0),-1)))</f>
        <v>3</v>
      </c>
      <c r="N11" t="str" cm="1">
        <f t="array" aca="1" ref="N11" ca="1">IF(fTbl[[#This Row],[listlu]]&lt;1,"",IF(INDEX(Ltbl[Generic],fTbl[[#This Row],[listlu]])="","",INDEX(Ltbl[Generic],fTbl[[#This Row],[listlu]])))</f>
        <v>MyFirstBrand,OtherBrand</v>
      </c>
      <c r="O11">
        <f ca="1">IF(AND(fTbl[[#This Row],[listlu]],ISERROR(FIND(",",fTbl[[#This Row],[liMatch]])),fTbl[[#This Row],[liMatch]]&lt;&gt;""),1,0)</f>
        <v>0</v>
      </c>
      <c r="P11">
        <f>IF(AND(fTbl[[#This Row],[LT]]="Ref",ISNA(MATCH(fTbl[[#This Row],[Field]],rTbl[Ref],0))),1,0)</f>
        <v>0</v>
      </c>
      <c r="Q11" t="str">
        <f ca="1">IF(ROW()=3,IF(fTbl[[#This Row],[LT]]="H",fTbl[[#This Row],[Field]]&amp;"|","|"),IF(fTbl[[#This Row],[LT]]="H",fTbl[[#This Row],[Field]]&amp;"|"&amp;OFFSET(fTbl[[#This Row],[Hierarchy]],-1,0),IF(fTbl[[#This Row],[LT]]&lt;&gt;"!H",OFFSET(fTbl[[#This Row],[Hierarchy]],-1,0),RIGHT(OFFSET(fTbl[[#This Row],[Hierarchy]],-1,0),LEN(OFFSET(fTbl[[#This Row],[Hierarchy]],-1,0))-LEN(fTbl[[#This Row],[Field]])-1))))</f>
        <v>oOrders|</v>
      </c>
      <c r="R11">
        <f ca="1">FIND("~",SUBSTITUTE(fTbl[[#This Row],[Hierarchy]],"|","~",1))</f>
        <v>8</v>
      </c>
      <c r="S11" t="e">
        <f ca="1">FIND("~",SUBSTITUTE(fTbl[[#This Row],[Hierarchy]],"|","~",2))</f>
        <v>#VALUE!</v>
      </c>
      <c r="T11" cm="1">
        <f t="array" aca="1" ref="T11" ca="1">IF(fTbl[[#This Row],[listlu]]=0,0,IF(INDEX(Ltbl[Context],fTbl[[#This Row],[listlu]],1)="ALL",1,2))</f>
        <v>1</v>
      </c>
      <c r="U11" s="29"/>
    </row>
    <row r="12" spans="1:21">
      <c r="A12" s="15" t="s">
        <v>25</v>
      </c>
      <c r="B12" t="s">
        <v>53</v>
      </c>
      <c r="D12" s="1"/>
      <c r="E12" s="1"/>
      <c r="F12" s="1"/>
      <c r="G12" s="1"/>
      <c r="H12" s="1"/>
      <c r="I12" s="19" t="s">
        <v>54</v>
      </c>
      <c r="J12" s="28"/>
      <c r="K12" t="str">
        <f ca="1">IFERROR(IF(fTbl[[#This Row],[LT]]="H",MID(fTbl[[#This Row],[Hierarchy]],fTbl[[#This Row],[pipe1]]+1,fTbl[[#This Row],[pipe2]]-fTbl[[#This Row],[pipe1]]-1),LEFT(fTbl[[#This Row],[Hierarchy]],FIND("|",fTbl[[#This Row],[Hierarchy]])-1)),"")</f>
        <v>oOrders</v>
      </c>
      <c r="L12" s="1">
        <f ca="1">IF(ROW()=3,0,OFFSET(fTbl[[#This Row],[Lev]],-1,0)+IF(OFFSET(fTbl[[#This Row],[LT]],-1,0)="H",1,IF(fTbl[[#This Row],[LT]]="!H",-1,0)))</f>
        <v>1</v>
      </c>
      <c r="M12">
        <f>IF(RIGHT(fTbl[[#This Row],[valid]],4)&lt;&gt;"list",0,IFERROR(MATCH(fTbl[[#This Row],[Context]]&amp;"|"&amp;fTbl[[#This Row],[Field]],Ltbl[ind],0),IFERROR(MATCH("ALL|"&amp;fTbl[[#This Row],[Field]],Ltbl[ind],0),-1)))</f>
        <v>0</v>
      </c>
      <c r="N12" t="str" cm="1">
        <f t="array" ref="N12">IF(fTbl[[#This Row],[listlu]]&lt;1,"",IF(INDEX(Ltbl[Generic],fTbl[[#This Row],[listlu]])="","",INDEX(Ltbl[Generic],fTbl[[#This Row],[listlu]])))</f>
        <v/>
      </c>
      <c r="O12">
        <f>IF(AND(fTbl[[#This Row],[listlu]],ISERROR(FIND(",",fTbl[[#This Row],[liMatch]])),fTbl[[#This Row],[liMatch]]&lt;&gt;""),1,0)</f>
        <v>0</v>
      </c>
      <c r="P12">
        <f>IF(AND(fTbl[[#This Row],[LT]]="Ref",ISNA(MATCH(fTbl[[#This Row],[Field]],rTbl[Ref],0))),1,0)</f>
        <v>0</v>
      </c>
      <c r="Q12" t="str">
        <f ca="1">IF(ROW()=3,IF(fTbl[[#This Row],[LT]]="H",fTbl[[#This Row],[Field]]&amp;"|","|"),IF(fTbl[[#This Row],[LT]]="H",fTbl[[#This Row],[Field]]&amp;"|"&amp;OFFSET(fTbl[[#This Row],[Hierarchy]],-1,0),IF(fTbl[[#This Row],[LT]]&lt;&gt;"!H",OFFSET(fTbl[[#This Row],[Hierarchy]],-1,0),RIGHT(OFFSET(fTbl[[#This Row],[Hierarchy]],-1,0),LEN(OFFSET(fTbl[[#This Row],[Hierarchy]],-1,0))-LEN(fTbl[[#This Row],[Field]])-1))))</f>
        <v>oOrders|</v>
      </c>
      <c r="R12">
        <f ca="1">FIND("~",SUBSTITUTE(fTbl[[#This Row],[Hierarchy]],"|","~",1))</f>
        <v>8</v>
      </c>
      <c r="S12" t="e">
        <f ca="1">FIND("~",SUBSTITUTE(fTbl[[#This Row],[Hierarchy]],"|","~",2))</f>
        <v>#VALUE!</v>
      </c>
      <c r="T12" cm="1">
        <f t="array" ref="T12">IF(fTbl[[#This Row],[listlu]]=0,0,IF(INDEX(Ltbl[Context],fTbl[[#This Row],[listlu]],1)="ALL",1,2))</f>
        <v>0</v>
      </c>
      <c r="U12" s="29"/>
    </row>
    <row r="13" spans="1:21">
      <c r="A13" s="15" t="s">
        <v>28</v>
      </c>
      <c r="B13" t="s">
        <v>55</v>
      </c>
      <c r="C13" t="s">
        <v>30</v>
      </c>
      <c r="D13" s="1">
        <v>5</v>
      </c>
      <c r="E13" s="1">
        <v>1</v>
      </c>
      <c r="F13" s="1"/>
      <c r="G13" s="1"/>
      <c r="H13" s="1" t="s">
        <v>56</v>
      </c>
      <c r="I13" s="19" t="s">
        <v>57</v>
      </c>
      <c r="J13" s="28" t="s">
        <v>58</v>
      </c>
      <c r="K13" t="str">
        <f ca="1">IFERROR(IF(fTbl[[#This Row],[LT]]="H",MID(fTbl[[#This Row],[Hierarchy]],fTbl[[#This Row],[pipe1]]+1,fTbl[[#This Row],[pipe2]]-fTbl[[#This Row],[pipe1]]-1),LEFT(fTbl[[#This Row],[Hierarchy]],FIND("|",fTbl[[#This Row],[Hierarchy]])-1)),"")</f>
        <v>oOrders</v>
      </c>
      <c r="L13" s="1">
        <f ca="1">IF(ROW()=3,0,OFFSET(fTbl[[#This Row],[Lev]],-1,0)+IF(OFFSET(fTbl[[#This Row],[LT]],-1,0)="H",1,IF(fTbl[[#This Row],[LT]]="!H",-1,0)))</f>
        <v>1</v>
      </c>
      <c r="M13">
        <f ca="1">IF(RIGHT(fTbl[[#This Row],[valid]],4)&lt;&gt;"list",0,IFERROR(MATCH(fTbl[[#This Row],[Context]]&amp;"|"&amp;fTbl[[#This Row],[Field]],Ltbl[ind],0),IFERROR(MATCH("ALL|"&amp;fTbl[[#This Row],[Field]],Ltbl[ind],0),-1)))</f>
        <v>23</v>
      </c>
      <c r="N13" t="str" cm="1">
        <f t="array" aca="1" ref="N13" ca="1">IF(fTbl[[#This Row],[listlu]]&lt;1,"",IF(INDEX(Ltbl[Generic],fTbl[[#This Row],[listlu]])="","",INDEX(Ltbl[Generic],fTbl[[#This Row],[listlu]])))</f>
        <v>SO,TOO</v>
      </c>
      <c r="O13">
        <f ca="1">IF(AND(fTbl[[#This Row],[listlu]],ISERROR(FIND(",",fTbl[[#This Row],[liMatch]])),fTbl[[#This Row],[liMatch]]&lt;&gt;""),1,0)</f>
        <v>0</v>
      </c>
      <c r="P13">
        <f>IF(AND(fTbl[[#This Row],[LT]]="Ref",ISNA(MATCH(fTbl[[#This Row],[Field]],rTbl[Ref],0))),1,0)</f>
        <v>0</v>
      </c>
      <c r="Q13" t="str">
        <f ca="1">IF(ROW()=3,IF(fTbl[[#This Row],[LT]]="H",fTbl[[#This Row],[Field]]&amp;"|","|"),IF(fTbl[[#This Row],[LT]]="H",fTbl[[#This Row],[Field]]&amp;"|"&amp;OFFSET(fTbl[[#This Row],[Hierarchy]],-1,0),IF(fTbl[[#This Row],[LT]]&lt;&gt;"!H",OFFSET(fTbl[[#This Row],[Hierarchy]],-1,0),RIGHT(OFFSET(fTbl[[#This Row],[Hierarchy]],-1,0),LEN(OFFSET(fTbl[[#This Row],[Hierarchy]],-1,0))-LEN(fTbl[[#This Row],[Field]])-1))))</f>
        <v>oOrders|</v>
      </c>
      <c r="R13">
        <f ca="1">FIND("~",SUBSTITUTE(fTbl[[#This Row],[Hierarchy]],"|","~",1))</f>
        <v>8</v>
      </c>
      <c r="S13" t="e">
        <f ca="1">FIND("~",SUBSTITUTE(fTbl[[#This Row],[Hierarchy]],"|","~",2))</f>
        <v>#VALUE!</v>
      </c>
      <c r="T13" cm="1">
        <f t="array" aca="1" ref="T13" ca="1">IF(fTbl[[#This Row],[listlu]]=0,0,IF(INDEX(Ltbl[Context],fTbl[[#This Row],[listlu]],1)="ALL",1,2))</f>
        <v>2</v>
      </c>
      <c r="U13" s="29" t="s">
        <v>59</v>
      </c>
    </row>
    <row r="14" spans="1:21">
      <c r="A14" s="15" t="s">
        <v>28</v>
      </c>
      <c r="B14" t="s">
        <v>60</v>
      </c>
      <c r="C14" t="s">
        <v>30</v>
      </c>
      <c r="D14" s="1">
        <v>5</v>
      </c>
      <c r="E14" s="1">
        <v>1</v>
      </c>
      <c r="F14" s="1"/>
      <c r="G14" s="1"/>
      <c r="H14" s="1" t="s">
        <v>56</v>
      </c>
      <c r="I14" s="19" t="s">
        <v>61</v>
      </c>
      <c r="J14" s="28" t="s">
        <v>62</v>
      </c>
      <c r="K14" t="str">
        <f ca="1">IFERROR(IF(fTbl[[#This Row],[LT]]="H",MID(fTbl[[#This Row],[Hierarchy]],fTbl[[#This Row],[pipe1]]+1,fTbl[[#This Row],[pipe2]]-fTbl[[#This Row],[pipe1]]-1),LEFT(fTbl[[#This Row],[Hierarchy]],FIND("|",fTbl[[#This Row],[Hierarchy]])-1)),"")</f>
        <v>oOrders</v>
      </c>
      <c r="L14" s="1">
        <f ca="1">IF(ROW()=3,0,OFFSET(fTbl[[#This Row],[Lev]],-1,0)+IF(OFFSET(fTbl[[#This Row],[LT]],-1,0)="H",1,IF(fTbl[[#This Row],[LT]]="!H",-1,0)))</f>
        <v>1</v>
      </c>
      <c r="M14">
        <f ca="1">IF(RIGHT(fTbl[[#This Row],[valid]],4)&lt;&gt;"list",0,IFERROR(MATCH(fTbl[[#This Row],[Context]]&amp;"|"&amp;fTbl[[#This Row],[Field]],Ltbl[ind],0),IFERROR(MATCH("ALL|"&amp;fTbl[[#This Row],[Field]],Ltbl[ind],0),-1)))</f>
        <v>8</v>
      </c>
      <c r="N14" t="str" cm="1">
        <f t="array" aca="1" ref="N14" ca="1">IF(fTbl[[#This Row],[listlu]]&lt;1,"",IF(INDEX(Ltbl[Generic],fTbl[[#This Row],[listlu]])="","",INDEX(Ltbl[Generic],fTbl[[#This Row],[listlu]])))</f>
        <v>NEW,UPD</v>
      </c>
      <c r="O14">
        <f ca="1">IF(AND(fTbl[[#This Row],[listlu]],ISERROR(FIND(",",fTbl[[#This Row],[liMatch]])),fTbl[[#This Row],[liMatch]]&lt;&gt;""),1,0)</f>
        <v>0</v>
      </c>
      <c r="P14">
        <f>IF(AND(fTbl[[#This Row],[LT]]="Ref",ISNA(MATCH(fTbl[[#This Row],[Field]],rTbl[Ref],0))),1,0)</f>
        <v>0</v>
      </c>
      <c r="Q14" t="str">
        <f ca="1">IF(ROW()=3,IF(fTbl[[#This Row],[LT]]="H",fTbl[[#This Row],[Field]]&amp;"|","|"),IF(fTbl[[#This Row],[LT]]="H",fTbl[[#This Row],[Field]]&amp;"|"&amp;OFFSET(fTbl[[#This Row],[Hierarchy]],-1,0),IF(fTbl[[#This Row],[LT]]&lt;&gt;"!H",OFFSET(fTbl[[#This Row],[Hierarchy]],-1,0),RIGHT(OFFSET(fTbl[[#This Row],[Hierarchy]],-1,0),LEN(OFFSET(fTbl[[#This Row],[Hierarchy]],-1,0))-LEN(fTbl[[#This Row],[Field]])-1))))</f>
        <v>oOrders|</v>
      </c>
      <c r="R14">
        <f ca="1">FIND("~",SUBSTITUTE(fTbl[[#This Row],[Hierarchy]],"|","~",1))</f>
        <v>8</v>
      </c>
      <c r="S14" t="e">
        <f ca="1">FIND("~",SUBSTITUTE(fTbl[[#This Row],[Hierarchy]],"|","~",2))</f>
        <v>#VALUE!</v>
      </c>
      <c r="T14" cm="1">
        <f t="array" aca="1" ref="T14" ca="1">IF(fTbl[[#This Row],[listlu]]=0,0,IF(INDEX(Ltbl[Context],fTbl[[#This Row],[listlu]],1)="ALL",1,2))</f>
        <v>1</v>
      </c>
      <c r="U14" s="29" t="s">
        <v>63</v>
      </c>
    </row>
    <row r="15" spans="1:21">
      <c r="A15" s="15" t="s">
        <v>28</v>
      </c>
      <c r="B15" t="s">
        <v>64</v>
      </c>
      <c r="C15" t="s">
        <v>30</v>
      </c>
      <c r="D15" s="1">
        <v>10</v>
      </c>
      <c r="E15" s="1">
        <v>1</v>
      </c>
      <c r="F15" s="1"/>
      <c r="G15" s="1"/>
      <c r="H15" s="1" t="s">
        <v>56</v>
      </c>
      <c r="I15" s="19" t="s">
        <v>65</v>
      </c>
      <c r="J15" s="28" t="s">
        <v>66</v>
      </c>
      <c r="K15" t="str">
        <f ca="1">IFERROR(IF(fTbl[[#This Row],[LT]]="H",MID(fTbl[[#This Row],[Hierarchy]],fTbl[[#This Row],[pipe1]]+1,fTbl[[#This Row],[pipe2]]-fTbl[[#This Row],[pipe1]]-1),LEFT(fTbl[[#This Row],[Hierarchy]],FIND("|",fTbl[[#This Row],[Hierarchy]])-1)),"")</f>
        <v>oOrders</v>
      </c>
      <c r="L15" s="1">
        <f ca="1">IF(ROW()=3,0,OFFSET(fTbl[[#This Row],[Lev]],-1,0)+IF(OFFSET(fTbl[[#This Row],[LT]],-1,0)="H",1,IF(fTbl[[#This Row],[LT]]="!H",-1,0)))</f>
        <v>1</v>
      </c>
      <c r="M15">
        <f ca="1">IF(RIGHT(fTbl[[#This Row],[valid]],4)&lt;&gt;"list",0,IFERROR(MATCH(fTbl[[#This Row],[Context]]&amp;"|"&amp;fTbl[[#This Row],[Field]],Ltbl[ind],0),IFERROR(MATCH("ALL|"&amp;fTbl[[#This Row],[Field]],Ltbl[ind],0),-1)))</f>
        <v>22</v>
      </c>
      <c r="N15" t="str" cm="1">
        <f t="array" aca="1" ref="N15" ca="1">IF(fTbl[[#This Row],[listlu]]&lt;1,"",IF(INDEX(Ltbl[Generic],fTbl[[#This Row],[listlu]])="","",INDEX(Ltbl[Generic],fTbl[[#This Row],[listlu]])))</f>
        <v>ECOM,WS,EVAS,WSVAS,PR,OTHER</v>
      </c>
      <c r="O15">
        <f ca="1">IF(AND(fTbl[[#This Row],[listlu]],ISERROR(FIND(",",fTbl[[#This Row],[liMatch]])),fTbl[[#This Row],[liMatch]]&lt;&gt;""),1,0)</f>
        <v>0</v>
      </c>
      <c r="P15">
        <f>IF(AND(fTbl[[#This Row],[LT]]="Ref",ISNA(MATCH(fTbl[[#This Row],[Field]],rTbl[Ref],0))),1,0)</f>
        <v>0</v>
      </c>
      <c r="Q15" t="str">
        <f ca="1">IF(ROW()=3,IF(fTbl[[#This Row],[LT]]="H",fTbl[[#This Row],[Field]]&amp;"|","|"),IF(fTbl[[#This Row],[LT]]="H",fTbl[[#This Row],[Field]]&amp;"|"&amp;OFFSET(fTbl[[#This Row],[Hierarchy]],-1,0),IF(fTbl[[#This Row],[LT]]&lt;&gt;"!H",OFFSET(fTbl[[#This Row],[Hierarchy]],-1,0),RIGHT(OFFSET(fTbl[[#This Row],[Hierarchy]],-1,0),LEN(OFFSET(fTbl[[#This Row],[Hierarchy]],-1,0))-LEN(fTbl[[#This Row],[Field]])-1))))</f>
        <v>oOrders|</v>
      </c>
      <c r="R15">
        <f ca="1">FIND("~",SUBSTITUTE(fTbl[[#This Row],[Hierarchy]],"|","~",1))</f>
        <v>8</v>
      </c>
      <c r="S15" t="e">
        <f ca="1">FIND("~",SUBSTITUTE(fTbl[[#This Row],[Hierarchy]],"|","~",2))</f>
        <v>#VALUE!</v>
      </c>
      <c r="T15" cm="1">
        <f t="array" aca="1" ref="T15" ca="1">IF(fTbl[[#This Row],[listlu]]=0,0,IF(INDEX(Ltbl[Context],fTbl[[#This Row],[listlu]],1)="ALL",1,2))</f>
        <v>2</v>
      </c>
      <c r="U15" s="29" t="s">
        <v>67</v>
      </c>
    </row>
    <row r="16" spans="1:21" ht="24.75">
      <c r="A16" s="15" t="s">
        <v>28</v>
      </c>
      <c r="B16" t="s">
        <v>68</v>
      </c>
      <c r="C16" t="s">
        <v>30</v>
      </c>
      <c r="D16" s="1">
        <v>10</v>
      </c>
      <c r="E16" s="1">
        <v>1</v>
      </c>
      <c r="F16" s="1"/>
      <c r="G16" s="1"/>
      <c r="H16" s="1" t="s">
        <v>56</v>
      </c>
      <c r="I16" s="19" t="s">
        <v>69</v>
      </c>
      <c r="J16" s="28" t="s">
        <v>70</v>
      </c>
      <c r="K16" t="str">
        <f ca="1">IFERROR(IF(fTbl[[#This Row],[LT]]="H",MID(fTbl[[#This Row],[Hierarchy]],fTbl[[#This Row],[pipe1]]+1,fTbl[[#This Row],[pipe2]]-fTbl[[#This Row],[pipe1]]-1),LEFT(fTbl[[#This Row],[Hierarchy]],FIND("|",fTbl[[#This Row],[Hierarchy]])-1)),"")</f>
        <v>oOrders</v>
      </c>
      <c r="L16" s="1">
        <f ca="1">IF(ROW()=3,0,OFFSET(fTbl[[#This Row],[Lev]],-1,0)+IF(OFFSET(fTbl[[#This Row],[LT]],-1,0)="H",1,IF(fTbl[[#This Row],[LT]]="!H",-1,0)))</f>
        <v>1</v>
      </c>
      <c r="M16">
        <f ca="1">IF(RIGHT(fTbl[[#This Row],[valid]],4)&lt;&gt;"list",0,IFERROR(MATCH(fTbl[[#This Row],[Context]]&amp;"|"&amp;fTbl[[#This Row],[Field]],Ltbl[ind],0),IFERROR(MATCH("ALL|"&amp;fTbl[[#This Row],[Field]],Ltbl[ind],0),-1)))</f>
        <v>24</v>
      </c>
      <c r="N16" t="str" cm="1">
        <f t="array" aca="1" ref="N16" ca="1">IF(fTbl[[#This Row],[listlu]]&lt;1,"",IF(INDEX(Ltbl[Generic],fTbl[[#This Row],[listlu]])="","",INDEX(Ltbl[Generic],fTbl[[#This Row],[listlu]])))</f>
        <v>NextDay,SameDay,UK48,IntExp,IntStd</v>
      </c>
      <c r="O16">
        <f ca="1">IF(AND(fTbl[[#This Row],[listlu]],ISERROR(FIND(",",fTbl[[#This Row],[liMatch]])),fTbl[[#This Row],[liMatch]]&lt;&gt;""),1,0)</f>
        <v>0</v>
      </c>
      <c r="P16">
        <f>IF(AND(fTbl[[#This Row],[LT]]="Ref",ISNA(MATCH(fTbl[[#This Row],[Field]],rTbl[Ref],0))),1,0)</f>
        <v>0</v>
      </c>
      <c r="Q16" t="str">
        <f ca="1">IF(ROW()=3,IF(fTbl[[#This Row],[LT]]="H",fTbl[[#This Row],[Field]]&amp;"|","|"),IF(fTbl[[#This Row],[LT]]="H",fTbl[[#This Row],[Field]]&amp;"|"&amp;OFFSET(fTbl[[#This Row],[Hierarchy]],-1,0),IF(fTbl[[#This Row],[LT]]&lt;&gt;"!H",OFFSET(fTbl[[#This Row],[Hierarchy]],-1,0),RIGHT(OFFSET(fTbl[[#This Row],[Hierarchy]],-1,0),LEN(OFFSET(fTbl[[#This Row],[Hierarchy]],-1,0))-LEN(fTbl[[#This Row],[Field]])-1))))</f>
        <v>oOrders|</v>
      </c>
      <c r="R16">
        <f ca="1">FIND("~",SUBSTITUTE(fTbl[[#This Row],[Hierarchy]],"|","~",1))</f>
        <v>8</v>
      </c>
      <c r="S16" t="e">
        <f ca="1">FIND("~",SUBSTITUTE(fTbl[[#This Row],[Hierarchy]],"|","~",2))</f>
        <v>#VALUE!</v>
      </c>
      <c r="T16" cm="1">
        <f t="array" aca="1" ref="T16" ca="1">IF(fTbl[[#This Row],[listlu]]=0,0,IF(INDEX(Ltbl[Context],fTbl[[#This Row],[listlu]],1)="ALL",1,2))</f>
        <v>2</v>
      </c>
      <c r="U16" s="29" t="s">
        <v>71</v>
      </c>
    </row>
    <row r="17" spans="1:21">
      <c r="A17" s="15" t="s">
        <v>28</v>
      </c>
      <c r="B17" t="s">
        <v>72</v>
      </c>
      <c r="C17" t="s">
        <v>30</v>
      </c>
      <c r="D17" s="1">
        <v>10</v>
      </c>
      <c r="E17" s="1">
        <v>0</v>
      </c>
      <c r="F17" s="1"/>
      <c r="G17" s="1"/>
      <c r="H17" s="1" t="s">
        <v>73</v>
      </c>
      <c r="I17" s="19" t="s">
        <v>74</v>
      </c>
      <c r="J17" s="28" t="s">
        <v>75</v>
      </c>
      <c r="K17" t="str">
        <f ca="1">IFERROR(IF(fTbl[[#This Row],[LT]]="H",MID(fTbl[[#This Row],[Hierarchy]],fTbl[[#This Row],[pipe1]]+1,fTbl[[#This Row],[pipe2]]-fTbl[[#This Row],[pipe1]]-1),LEFT(fTbl[[#This Row],[Hierarchy]],FIND("|",fTbl[[#This Row],[Hierarchy]])-1)),"")</f>
        <v>oOrders</v>
      </c>
      <c r="L17" s="1">
        <f ca="1">IF(ROW()=3,0,OFFSET(fTbl[[#This Row],[Lev]],-1,0)+IF(OFFSET(fTbl[[#This Row],[LT]],-1,0)="H",1,IF(fTbl[[#This Row],[LT]]="!H",-1,0)))</f>
        <v>1</v>
      </c>
      <c r="M17">
        <f>IF(RIGHT(fTbl[[#This Row],[valid]],4)&lt;&gt;"list",0,IFERROR(MATCH(fTbl[[#This Row],[Context]]&amp;"|"&amp;fTbl[[#This Row],[Field]],Ltbl[ind],0),IFERROR(MATCH("ALL|"&amp;fTbl[[#This Row],[Field]],Ltbl[ind],0),-1)))</f>
        <v>0</v>
      </c>
      <c r="N17" t="str" cm="1">
        <f t="array" ref="N17">IF(fTbl[[#This Row],[listlu]]&lt;1,"",IF(INDEX(Ltbl[Generic],fTbl[[#This Row],[listlu]])="","",INDEX(Ltbl[Generic],fTbl[[#This Row],[listlu]])))</f>
        <v/>
      </c>
      <c r="O17">
        <f>IF(AND(fTbl[[#This Row],[listlu]],ISERROR(FIND(",",fTbl[[#This Row],[liMatch]])),fTbl[[#This Row],[liMatch]]&lt;&gt;""),1,0)</f>
        <v>0</v>
      </c>
      <c r="P17">
        <f>IF(AND(fTbl[[#This Row],[LT]]="Ref",ISNA(MATCH(fTbl[[#This Row],[Field]],rTbl[Ref],0))),1,0)</f>
        <v>0</v>
      </c>
      <c r="Q17" t="str">
        <f ca="1">IF(ROW()=3,IF(fTbl[[#This Row],[LT]]="H",fTbl[[#This Row],[Field]]&amp;"|","|"),IF(fTbl[[#This Row],[LT]]="H",fTbl[[#This Row],[Field]]&amp;"|"&amp;OFFSET(fTbl[[#This Row],[Hierarchy]],-1,0),IF(fTbl[[#This Row],[LT]]&lt;&gt;"!H",OFFSET(fTbl[[#This Row],[Hierarchy]],-1,0),RIGHT(OFFSET(fTbl[[#This Row],[Hierarchy]],-1,0),LEN(OFFSET(fTbl[[#This Row],[Hierarchy]],-1,0))-LEN(fTbl[[#This Row],[Field]])-1))))</f>
        <v>oOrders|</v>
      </c>
      <c r="R17">
        <f ca="1">FIND("~",SUBSTITUTE(fTbl[[#This Row],[Hierarchy]],"|","~",1))</f>
        <v>8</v>
      </c>
      <c r="S17" t="e">
        <f ca="1">FIND("~",SUBSTITUTE(fTbl[[#This Row],[Hierarchy]],"|","~",2))</f>
        <v>#VALUE!</v>
      </c>
      <c r="T17" cm="1">
        <f t="array" ref="T17">IF(fTbl[[#This Row],[listlu]]=0,0,IF(INDEX(Ltbl[Context],fTbl[[#This Row],[listlu]],1)="ALL",1,2))</f>
        <v>0</v>
      </c>
      <c r="U17" s="29" t="s">
        <v>76</v>
      </c>
    </row>
    <row r="18" spans="1:21">
      <c r="A18" s="15" t="s">
        <v>28</v>
      </c>
      <c r="B18" t="s">
        <v>77</v>
      </c>
      <c r="C18" t="s">
        <v>30</v>
      </c>
      <c r="D18" s="1">
        <v>10</v>
      </c>
      <c r="E18" s="1">
        <v>0</v>
      </c>
      <c r="F18" s="1"/>
      <c r="G18" s="1"/>
      <c r="H18" s="1" t="s">
        <v>56</v>
      </c>
      <c r="I18" s="19" t="s">
        <v>78</v>
      </c>
      <c r="J18" s="28" t="s">
        <v>79</v>
      </c>
      <c r="K18" t="str">
        <f ca="1">IFERROR(IF(fTbl[[#This Row],[LT]]="H",MID(fTbl[[#This Row],[Hierarchy]],fTbl[[#This Row],[pipe1]]+1,fTbl[[#This Row],[pipe2]]-fTbl[[#This Row],[pipe1]]-1),LEFT(fTbl[[#This Row],[Hierarchy]],FIND("|",fTbl[[#This Row],[Hierarchy]])-1)),"")</f>
        <v>oOrders</v>
      </c>
      <c r="L18" s="1">
        <f ca="1">IF(ROW()=3,0,OFFSET(fTbl[[#This Row],[Lev]],-1,0)+IF(OFFSET(fTbl[[#This Row],[LT]],-1,0)="H",1,IF(fTbl[[#This Row],[LT]]="!H",-1,0)))</f>
        <v>1</v>
      </c>
      <c r="M18">
        <f ca="1">IF(RIGHT(fTbl[[#This Row],[valid]],4)&lt;&gt;"list",0,IFERROR(MATCH(fTbl[[#This Row],[Context]]&amp;"|"&amp;fTbl[[#This Row],[Field]],Ltbl[ind],0),IFERROR(MATCH("ALL|"&amp;fTbl[[#This Row],[Field]],Ltbl[ind],0),-1)))</f>
        <v>7</v>
      </c>
      <c r="N18" t="str" cm="1">
        <f t="array" aca="1" ref="N18" ca="1">IF(fTbl[[#This Row],[listlu]]&lt;1,"",IF(INDEX(Ltbl[Generic],fTbl[[#This Row],[listlu]])="","",INDEX(Ltbl[Generic],fTbl[[#This Row],[listlu]])))</f>
        <v>NORM,URGNT,HIGH</v>
      </c>
      <c r="O18">
        <f ca="1">IF(AND(fTbl[[#This Row],[listlu]],ISERROR(FIND(",",fTbl[[#This Row],[liMatch]])),fTbl[[#This Row],[liMatch]]&lt;&gt;""),1,0)</f>
        <v>0</v>
      </c>
      <c r="P18">
        <f>IF(AND(fTbl[[#This Row],[LT]]="Ref",ISNA(MATCH(fTbl[[#This Row],[Field]],rTbl[Ref],0))),1,0)</f>
        <v>0</v>
      </c>
      <c r="Q18" t="str">
        <f ca="1">IF(ROW()=3,IF(fTbl[[#This Row],[LT]]="H",fTbl[[#This Row],[Field]]&amp;"|","|"),IF(fTbl[[#This Row],[LT]]="H",fTbl[[#This Row],[Field]]&amp;"|"&amp;OFFSET(fTbl[[#This Row],[Hierarchy]],-1,0),IF(fTbl[[#This Row],[LT]]&lt;&gt;"!H",OFFSET(fTbl[[#This Row],[Hierarchy]],-1,0),RIGHT(OFFSET(fTbl[[#This Row],[Hierarchy]],-1,0),LEN(OFFSET(fTbl[[#This Row],[Hierarchy]],-1,0))-LEN(fTbl[[#This Row],[Field]])-1))))</f>
        <v>oOrders|</v>
      </c>
      <c r="R18">
        <f ca="1">FIND("~",SUBSTITUTE(fTbl[[#This Row],[Hierarchy]],"|","~",1))</f>
        <v>8</v>
      </c>
      <c r="S18" t="e">
        <f ca="1">FIND("~",SUBSTITUTE(fTbl[[#This Row],[Hierarchy]],"|","~",2))</f>
        <v>#VALUE!</v>
      </c>
      <c r="T18" cm="1">
        <f t="array" aca="1" ref="T18" ca="1">IF(fTbl[[#This Row],[listlu]]=0,0,IF(INDEX(Ltbl[Context],fTbl[[#This Row],[listlu]],1)="ALL",1,2))</f>
        <v>1</v>
      </c>
      <c r="U18" s="29"/>
    </row>
    <row r="19" spans="1:21">
      <c r="A19" s="15" t="s">
        <v>28</v>
      </c>
      <c r="B19" t="s">
        <v>80</v>
      </c>
      <c r="C19" t="s">
        <v>30</v>
      </c>
      <c r="D19" s="1">
        <v>15</v>
      </c>
      <c r="E19" s="1">
        <v>1</v>
      </c>
      <c r="F19" s="1"/>
      <c r="G19" s="1"/>
      <c r="H19" s="1" t="s">
        <v>73</v>
      </c>
      <c r="I19" s="19" t="s">
        <v>81</v>
      </c>
      <c r="J19" s="28" t="s">
        <v>82</v>
      </c>
      <c r="K19" t="str">
        <f ca="1">IFERROR(IF(fTbl[[#This Row],[LT]]="H",MID(fTbl[[#This Row],[Hierarchy]],fTbl[[#This Row],[pipe1]]+1,fTbl[[#This Row],[pipe2]]-fTbl[[#This Row],[pipe1]]-1),LEFT(fTbl[[#This Row],[Hierarchy]],FIND("|",fTbl[[#This Row],[Hierarchy]])-1)),"")</f>
        <v>oOrders</v>
      </c>
      <c r="L19" s="1">
        <f ca="1">IF(ROW()=3,0,OFFSET(fTbl[[#This Row],[Lev]],-1,0)+IF(OFFSET(fTbl[[#This Row],[LT]],-1,0)="H",1,IF(fTbl[[#This Row],[LT]]="!H",-1,0)))</f>
        <v>1</v>
      </c>
      <c r="M19">
        <f>IF(RIGHT(fTbl[[#This Row],[valid]],4)&lt;&gt;"list",0,IFERROR(MATCH(fTbl[[#This Row],[Context]]&amp;"|"&amp;fTbl[[#This Row],[Field]],Ltbl[ind],0),IFERROR(MATCH("ALL|"&amp;fTbl[[#This Row],[Field]],Ltbl[ind],0),-1)))</f>
        <v>0</v>
      </c>
      <c r="N19" t="str" cm="1">
        <f t="array" ref="N19">IF(fTbl[[#This Row],[listlu]]&lt;1,"",IF(INDEX(Ltbl[Generic],fTbl[[#This Row],[listlu]])="","",INDEX(Ltbl[Generic],fTbl[[#This Row],[listlu]])))</f>
        <v/>
      </c>
      <c r="O19">
        <f>IF(AND(fTbl[[#This Row],[listlu]],ISERROR(FIND(",",fTbl[[#This Row],[liMatch]])),fTbl[[#This Row],[liMatch]]&lt;&gt;""),1,0)</f>
        <v>0</v>
      </c>
      <c r="P19">
        <f>IF(AND(fTbl[[#This Row],[LT]]="Ref",ISNA(MATCH(fTbl[[#This Row],[Field]],rTbl[Ref],0))),1,0)</f>
        <v>0</v>
      </c>
      <c r="Q19" t="str">
        <f ca="1">IF(ROW()=3,IF(fTbl[[#This Row],[LT]]="H",fTbl[[#This Row],[Field]]&amp;"|","|"),IF(fTbl[[#This Row],[LT]]="H",fTbl[[#This Row],[Field]]&amp;"|"&amp;OFFSET(fTbl[[#This Row],[Hierarchy]],-1,0),IF(fTbl[[#This Row],[LT]]&lt;&gt;"!H",OFFSET(fTbl[[#This Row],[Hierarchy]],-1,0),RIGHT(OFFSET(fTbl[[#This Row],[Hierarchy]],-1,0),LEN(OFFSET(fTbl[[#This Row],[Hierarchy]],-1,0))-LEN(fTbl[[#This Row],[Field]])-1))))</f>
        <v>oOrders|</v>
      </c>
      <c r="R19">
        <f ca="1">FIND("~",SUBSTITUTE(fTbl[[#This Row],[Hierarchy]],"|","~",1))</f>
        <v>8</v>
      </c>
      <c r="S19" t="e">
        <f ca="1">FIND("~",SUBSTITUTE(fTbl[[#This Row],[Hierarchy]],"|","~",2))</f>
        <v>#VALUE!</v>
      </c>
      <c r="T19" cm="1">
        <f t="array" ref="T19">IF(fTbl[[#This Row],[listlu]]=0,0,IF(INDEX(Ltbl[Context],fTbl[[#This Row],[listlu]],1)="ALL",1,2))</f>
        <v>0</v>
      </c>
      <c r="U19" s="29"/>
    </row>
    <row r="20" spans="1:21">
      <c r="A20" s="15" t="s">
        <v>28</v>
      </c>
      <c r="B20" t="s">
        <v>83</v>
      </c>
      <c r="C20" t="s">
        <v>84</v>
      </c>
      <c r="D20" s="1"/>
      <c r="E20" s="1">
        <v>0</v>
      </c>
      <c r="F20" s="1"/>
      <c r="G20" s="1"/>
      <c r="H20" s="1"/>
      <c r="I20" s="19" t="s">
        <v>85</v>
      </c>
      <c r="J20" s="28" t="s">
        <v>86</v>
      </c>
      <c r="K20" t="str">
        <f ca="1">IFERROR(IF(fTbl[[#This Row],[LT]]="H",MID(fTbl[[#This Row],[Hierarchy]],fTbl[[#This Row],[pipe1]]+1,fTbl[[#This Row],[pipe2]]-fTbl[[#This Row],[pipe1]]-1),LEFT(fTbl[[#This Row],[Hierarchy]],FIND("|",fTbl[[#This Row],[Hierarchy]])-1)),"")</f>
        <v>oOrders</v>
      </c>
      <c r="L20" s="1">
        <f ca="1">IF(ROW()=3,0,OFFSET(fTbl[[#This Row],[Lev]],-1,0)+IF(OFFSET(fTbl[[#This Row],[LT]],-1,0)="H",1,IF(fTbl[[#This Row],[LT]]="!H",-1,0)))</f>
        <v>1</v>
      </c>
      <c r="M20">
        <f>IF(RIGHT(fTbl[[#This Row],[valid]],4)&lt;&gt;"list",0,IFERROR(MATCH(fTbl[[#This Row],[Context]]&amp;"|"&amp;fTbl[[#This Row],[Field]],Ltbl[ind],0),IFERROR(MATCH("ALL|"&amp;fTbl[[#This Row],[Field]],Ltbl[ind],0),-1)))</f>
        <v>0</v>
      </c>
      <c r="N20" t="str" cm="1">
        <f t="array" ref="N20">IF(fTbl[[#This Row],[listlu]]&lt;1,"",IF(INDEX(Ltbl[Generic],fTbl[[#This Row],[listlu]])="","",INDEX(Ltbl[Generic],fTbl[[#This Row],[listlu]])))</f>
        <v/>
      </c>
      <c r="O20">
        <f>IF(AND(fTbl[[#This Row],[listlu]],ISERROR(FIND(",",fTbl[[#This Row],[liMatch]])),fTbl[[#This Row],[liMatch]]&lt;&gt;""),1,0)</f>
        <v>0</v>
      </c>
      <c r="P20">
        <f>IF(AND(fTbl[[#This Row],[LT]]="Ref",ISNA(MATCH(fTbl[[#This Row],[Field]],rTbl[Ref],0))),1,0)</f>
        <v>0</v>
      </c>
      <c r="Q20" t="str">
        <f ca="1">IF(ROW()=3,IF(fTbl[[#This Row],[LT]]="H",fTbl[[#This Row],[Field]]&amp;"|","|"),IF(fTbl[[#This Row],[LT]]="H",fTbl[[#This Row],[Field]]&amp;"|"&amp;OFFSET(fTbl[[#This Row],[Hierarchy]],-1,0),IF(fTbl[[#This Row],[LT]]&lt;&gt;"!H",OFFSET(fTbl[[#This Row],[Hierarchy]],-1,0),RIGHT(OFFSET(fTbl[[#This Row],[Hierarchy]],-1,0),LEN(OFFSET(fTbl[[#This Row],[Hierarchy]],-1,0))-LEN(fTbl[[#This Row],[Field]])-1))))</f>
        <v>oOrders|</v>
      </c>
      <c r="R20">
        <f ca="1">FIND("~",SUBSTITUTE(fTbl[[#This Row],[Hierarchy]],"|","~",1))</f>
        <v>8</v>
      </c>
      <c r="S20" t="e">
        <f ca="1">FIND("~",SUBSTITUTE(fTbl[[#This Row],[Hierarchy]],"|","~",2))</f>
        <v>#VALUE!</v>
      </c>
      <c r="T20" cm="1">
        <f t="array" ref="T20">IF(fTbl[[#This Row],[listlu]]=0,0,IF(INDEX(Ltbl[Context],fTbl[[#This Row],[listlu]],1)="ALL",1,2))</f>
        <v>0</v>
      </c>
      <c r="U20" s="29"/>
    </row>
    <row r="21" spans="1:21">
      <c r="A21" s="15" t="s">
        <v>25</v>
      </c>
      <c r="B21" t="s">
        <v>87</v>
      </c>
      <c r="D21" s="1"/>
      <c r="E21" s="1"/>
      <c r="F21" s="1"/>
      <c r="G21" s="1"/>
      <c r="H21" s="1"/>
      <c r="I21" s="19"/>
      <c r="J21" s="28"/>
      <c r="K21" t="str">
        <f ca="1">IFERROR(IF(fTbl[[#This Row],[LT]]="H",MID(fTbl[[#This Row],[Hierarchy]],fTbl[[#This Row],[pipe1]]+1,fTbl[[#This Row],[pipe2]]-fTbl[[#This Row],[pipe1]]-1),LEFT(fTbl[[#This Row],[Hierarchy]],FIND("|",fTbl[[#This Row],[Hierarchy]])-1)),"")</f>
        <v>oOrders</v>
      </c>
      <c r="L21" s="1">
        <f ca="1">IF(ROW()=3,0,OFFSET(fTbl[[#This Row],[Lev]],-1,0)+IF(OFFSET(fTbl[[#This Row],[LT]],-1,0)="H",1,IF(fTbl[[#This Row],[LT]]="!H",-1,0)))</f>
        <v>1</v>
      </c>
      <c r="M21">
        <f>IF(RIGHT(fTbl[[#This Row],[valid]],4)&lt;&gt;"list",0,IFERROR(MATCH(fTbl[[#This Row],[Context]]&amp;"|"&amp;fTbl[[#This Row],[Field]],Ltbl[ind],0),IFERROR(MATCH("ALL|"&amp;fTbl[[#This Row],[Field]],Ltbl[ind],0),-1)))</f>
        <v>0</v>
      </c>
      <c r="N21" t="str" cm="1">
        <f t="array" ref="N21">IF(fTbl[[#This Row],[listlu]]&lt;1,"",IF(INDEX(Ltbl[Generic],fTbl[[#This Row],[listlu]])="","",INDEX(Ltbl[Generic],fTbl[[#This Row],[listlu]])))</f>
        <v/>
      </c>
      <c r="O21">
        <f>IF(AND(fTbl[[#This Row],[listlu]],ISERROR(FIND(",",fTbl[[#This Row],[liMatch]])),fTbl[[#This Row],[liMatch]]&lt;&gt;""),1,0)</f>
        <v>0</v>
      </c>
      <c r="P21">
        <f>IF(AND(fTbl[[#This Row],[LT]]="Ref",ISNA(MATCH(fTbl[[#This Row],[Field]],rTbl[Ref],0))),1,0)</f>
        <v>0</v>
      </c>
      <c r="Q21" t="str">
        <f ca="1">IF(ROW()=3,IF(fTbl[[#This Row],[LT]]="H",fTbl[[#This Row],[Field]]&amp;"|","|"),IF(fTbl[[#This Row],[LT]]="H",fTbl[[#This Row],[Field]]&amp;"|"&amp;OFFSET(fTbl[[#This Row],[Hierarchy]],-1,0),IF(fTbl[[#This Row],[LT]]&lt;&gt;"!H",OFFSET(fTbl[[#This Row],[Hierarchy]],-1,0),RIGHT(OFFSET(fTbl[[#This Row],[Hierarchy]],-1,0),LEN(OFFSET(fTbl[[#This Row],[Hierarchy]],-1,0))-LEN(fTbl[[#This Row],[Field]])-1))))</f>
        <v>oOrders|</v>
      </c>
      <c r="R21">
        <f ca="1">FIND("~",SUBSTITUTE(fTbl[[#This Row],[Hierarchy]],"|","~",1))</f>
        <v>8</v>
      </c>
      <c r="S21" t="e">
        <f ca="1">FIND("~",SUBSTITUTE(fTbl[[#This Row],[Hierarchy]],"|","~",2))</f>
        <v>#VALUE!</v>
      </c>
      <c r="T21" cm="1">
        <f t="array" ref="T21">IF(fTbl[[#This Row],[listlu]]=0,0,IF(INDEX(Ltbl[Context],fTbl[[#This Row],[listlu]],1)="ALL",1,2))</f>
        <v>0</v>
      </c>
      <c r="U21" s="29"/>
    </row>
    <row r="22" spans="1:21" ht="15" customHeight="1">
      <c r="A22" s="15" t="s">
        <v>28</v>
      </c>
      <c r="B22" t="s">
        <v>88</v>
      </c>
      <c r="C22" t="s">
        <v>89</v>
      </c>
      <c r="D22" s="1"/>
      <c r="E22" s="1">
        <v>0</v>
      </c>
      <c r="F22" s="1"/>
      <c r="G22" s="1"/>
      <c r="H22" s="1"/>
      <c r="I22" s="19" t="s">
        <v>90</v>
      </c>
      <c r="J22" s="28" t="s">
        <v>91</v>
      </c>
      <c r="K22" t="str">
        <f ca="1">IFERROR(IF(fTbl[[#This Row],[LT]]="H",MID(fTbl[[#This Row],[Hierarchy]],fTbl[[#This Row],[pipe1]]+1,fTbl[[#This Row],[pipe2]]-fTbl[[#This Row],[pipe1]]-1),LEFT(fTbl[[#This Row],[Hierarchy]],FIND("|",fTbl[[#This Row],[Hierarchy]])-1)),"")</f>
        <v>oOrders</v>
      </c>
      <c r="L22" s="1">
        <f ca="1">IF(ROW()=3,0,OFFSET(fTbl[[#This Row],[Lev]],-1,0)+IF(OFFSET(fTbl[[#This Row],[LT]],-1,0)="H",1,IF(fTbl[[#This Row],[LT]]="!H",-1,0)))</f>
        <v>1</v>
      </c>
      <c r="M22">
        <f>IF(RIGHT(fTbl[[#This Row],[valid]],4)&lt;&gt;"list",0,IFERROR(MATCH(fTbl[[#This Row],[Context]]&amp;"|"&amp;fTbl[[#This Row],[Field]],Ltbl[ind],0),IFERROR(MATCH("ALL|"&amp;fTbl[[#This Row],[Field]],Ltbl[ind],0),-1)))</f>
        <v>0</v>
      </c>
      <c r="N22" t="str" cm="1">
        <f t="array" ref="N22">IF(fTbl[[#This Row],[listlu]]&lt;1,"",IF(INDEX(Ltbl[Generic],fTbl[[#This Row],[listlu]])="","",INDEX(Ltbl[Generic],fTbl[[#This Row],[listlu]])))</f>
        <v/>
      </c>
      <c r="O22">
        <f>IF(AND(fTbl[[#This Row],[listlu]],ISERROR(FIND(",",fTbl[[#This Row],[liMatch]])),fTbl[[#This Row],[liMatch]]&lt;&gt;""),1,0)</f>
        <v>0</v>
      </c>
      <c r="P22">
        <f>IF(AND(fTbl[[#This Row],[LT]]="Ref",ISNA(MATCH(fTbl[[#This Row],[Field]],rTbl[Ref],0))),1,0)</f>
        <v>0</v>
      </c>
      <c r="Q22" t="str">
        <f ca="1">IF(ROW()=3,IF(fTbl[[#This Row],[LT]]="H",fTbl[[#This Row],[Field]]&amp;"|","|"),IF(fTbl[[#This Row],[LT]]="H",fTbl[[#This Row],[Field]]&amp;"|"&amp;OFFSET(fTbl[[#This Row],[Hierarchy]],-1,0),IF(fTbl[[#This Row],[LT]]&lt;&gt;"!H",OFFSET(fTbl[[#This Row],[Hierarchy]],-1,0),RIGHT(OFFSET(fTbl[[#This Row],[Hierarchy]],-1,0),LEN(OFFSET(fTbl[[#This Row],[Hierarchy]],-1,0))-LEN(fTbl[[#This Row],[Field]])-1))))</f>
        <v>oOrders|</v>
      </c>
      <c r="R22">
        <f ca="1">FIND("~",SUBSTITUTE(fTbl[[#This Row],[Hierarchy]],"|","~",1))</f>
        <v>8</v>
      </c>
      <c r="S22" t="e">
        <f ca="1">FIND("~",SUBSTITUTE(fTbl[[#This Row],[Hierarchy]],"|","~",2))</f>
        <v>#VALUE!</v>
      </c>
      <c r="T22" cm="1">
        <f t="array" ref="T22">IF(fTbl[[#This Row],[listlu]]=0,0,IF(INDEX(Ltbl[Context],fTbl[[#This Row],[listlu]],1)="ALL",1,2))</f>
        <v>0</v>
      </c>
      <c r="U22" s="29" t="s">
        <v>92</v>
      </c>
    </row>
    <row r="23" spans="1:21">
      <c r="A23" s="15" t="s">
        <v>28</v>
      </c>
      <c r="B23" t="s">
        <v>93</v>
      </c>
      <c r="C23" t="s">
        <v>94</v>
      </c>
      <c r="D23" s="1"/>
      <c r="E23" s="1">
        <v>0</v>
      </c>
      <c r="F23" s="1"/>
      <c r="G23" s="1"/>
      <c r="H23" s="1"/>
      <c r="I23" s="19" t="s">
        <v>95</v>
      </c>
      <c r="J23" s="27" t="s">
        <v>96</v>
      </c>
      <c r="K23" t="str">
        <f ca="1">IFERROR(IF(fTbl[[#This Row],[LT]]="H",MID(fTbl[[#This Row],[Hierarchy]],fTbl[[#This Row],[pipe1]]+1,fTbl[[#This Row],[pipe2]]-fTbl[[#This Row],[pipe1]]-1),LEFT(fTbl[[#This Row],[Hierarchy]],FIND("|",fTbl[[#This Row],[Hierarchy]])-1)),"")</f>
        <v>oOrders</v>
      </c>
      <c r="L23" s="1">
        <f ca="1">IF(ROW()=3,0,OFFSET(fTbl[[#This Row],[Lev]],-1,0)+IF(OFFSET(fTbl[[#This Row],[LT]],-1,0)="H",1,IF(fTbl[[#This Row],[LT]]="!H",-1,0)))</f>
        <v>1</v>
      </c>
      <c r="M23">
        <f>IF(RIGHT(fTbl[[#This Row],[valid]],4)&lt;&gt;"list",0,IFERROR(MATCH(fTbl[[#This Row],[Context]]&amp;"|"&amp;fTbl[[#This Row],[Field]],Ltbl[ind],0),IFERROR(MATCH("ALL|"&amp;fTbl[[#This Row],[Field]],Ltbl[ind],0),-1)))</f>
        <v>0</v>
      </c>
      <c r="N23" t="str" cm="1">
        <f t="array" ref="N23">IF(fTbl[[#This Row],[listlu]]&lt;1,"",IF(INDEX(Ltbl[Generic],fTbl[[#This Row],[listlu]])="","",INDEX(Ltbl[Generic],fTbl[[#This Row],[listlu]])))</f>
        <v/>
      </c>
      <c r="O23">
        <f>IF(AND(fTbl[[#This Row],[listlu]],ISERROR(FIND(",",fTbl[[#This Row],[liMatch]])),fTbl[[#This Row],[liMatch]]&lt;&gt;""),1,0)</f>
        <v>0</v>
      </c>
      <c r="P23">
        <f>IF(AND(fTbl[[#This Row],[LT]]="Ref",ISNA(MATCH(fTbl[[#This Row],[Field]],rTbl[Ref],0))),1,0)</f>
        <v>0</v>
      </c>
      <c r="Q23" t="str">
        <f ca="1">IF(ROW()=3,IF(fTbl[[#This Row],[LT]]="H",fTbl[[#This Row],[Field]]&amp;"|","|"),IF(fTbl[[#This Row],[LT]]="H",fTbl[[#This Row],[Field]]&amp;"|"&amp;OFFSET(fTbl[[#This Row],[Hierarchy]],-1,0),IF(fTbl[[#This Row],[LT]]&lt;&gt;"!H",OFFSET(fTbl[[#This Row],[Hierarchy]],-1,0),RIGHT(OFFSET(fTbl[[#This Row],[Hierarchy]],-1,0),LEN(OFFSET(fTbl[[#This Row],[Hierarchy]],-1,0))-LEN(fTbl[[#This Row],[Field]])-1))))</f>
        <v>oOrders|</v>
      </c>
      <c r="R23">
        <f ca="1">FIND("~",SUBSTITUTE(fTbl[[#This Row],[Hierarchy]],"|","~",1))</f>
        <v>8</v>
      </c>
      <c r="S23" t="e">
        <f ca="1">FIND("~",SUBSTITUTE(fTbl[[#This Row],[Hierarchy]],"|","~",2))</f>
        <v>#VALUE!</v>
      </c>
      <c r="T23" cm="1">
        <f t="array" ref="T23">IF(fTbl[[#This Row],[listlu]]=0,0,IF(INDEX(Ltbl[Context],fTbl[[#This Row],[listlu]],1)="ALL",1,2))</f>
        <v>0</v>
      </c>
      <c r="U23" s="29" t="s">
        <v>97</v>
      </c>
    </row>
    <row r="24" spans="1:21">
      <c r="A24" s="15" t="s">
        <v>28</v>
      </c>
      <c r="B24" t="s">
        <v>98</v>
      </c>
      <c r="C24" t="s">
        <v>94</v>
      </c>
      <c r="D24" s="1"/>
      <c r="E24" s="1">
        <v>0</v>
      </c>
      <c r="F24" s="1"/>
      <c r="G24" s="1"/>
      <c r="H24" s="1"/>
      <c r="I24" s="19" t="s">
        <v>99</v>
      </c>
      <c r="J24" s="27" t="s">
        <v>96</v>
      </c>
      <c r="K24" t="str">
        <f ca="1">IFERROR(IF(fTbl[[#This Row],[LT]]="H",MID(fTbl[[#This Row],[Hierarchy]],fTbl[[#This Row],[pipe1]]+1,fTbl[[#This Row],[pipe2]]-fTbl[[#This Row],[pipe1]]-1),LEFT(fTbl[[#This Row],[Hierarchy]],FIND("|",fTbl[[#This Row],[Hierarchy]])-1)),"")</f>
        <v>oOrders</v>
      </c>
      <c r="L24" s="1">
        <f ca="1">IF(ROW()=3,0,OFFSET(fTbl[[#This Row],[Lev]],-1,0)+IF(OFFSET(fTbl[[#This Row],[LT]],-1,0)="H",1,IF(fTbl[[#This Row],[LT]]="!H",-1,0)))</f>
        <v>1</v>
      </c>
      <c r="M24">
        <f>IF(RIGHT(fTbl[[#This Row],[valid]],4)&lt;&gt;"list",0,IFERROR(MATCH(fTbl[[#This Row],[Context]]&amp;"|"&amp;fTbl[[#This Row],[Field]],Ltbl[ind],0),IFERROR(MATCH("ALL|"&amp;fTbl[[#This Row],[Field]],Ltbl[ind],0),-1)))</f>
        <v>0</v>
      </c>
      <c r="N24" t="str" cm="1">
        <f t="array" ref="N24">IF(fTbl[[#This Row],[listlu]]&lt;1,"",IF(INDEX(Ltbl[Generic],fTbl[[#This Row],[listlu]])="","",INDEX(Ltbl[Generic],fTbl[[#This Row],[listlu]])))</f>
        <v/>
      </c>
      <c r="O24">
        <f>IF(AND(fTbl[[#This Row],[listlu]],ISERROR(FIND(",",fTbl[[#This Row],[liMatch]])),fTbl[[#This Row],[liMatch]]&lt;&gt;""),1,0)</f>
        <v>0</v>
      </c>
      <c r="P24">
        <f>IF(AND(fTbl[[#This Row],[LT]]="Ref",ISNA(MATCH(fTbl[[#This Row],[Field]],rTbl[Ref],0))),1,0)</f>
        <v>0</v>
      </c>
      <c r="Q24" t="str">
        <f ca="1">IF(ROW()=3,IF(fTbl[[#This Row],[LT]]="H",fTbl[[#This Row],[Field]]&amp;"|","|"),IF(fTbl[[#This Row],[LT]]="H",fTbl[[#This Row],[Field]]&amp;"|"&amp;OFFSET(fTbl[[#This Row],[Hierarchy]],-1,0),IF(fTbl[[#This Row],[LT]]&lt;&gt;"!H",OFFSET(fTbl[[#This Row],[Hierarchy]],-1,0),RIGHT(OFFSET(fTbl[[#This Row],[Hierarchy]],-1,0),LEN(OFFSET(fTbl[[#This Row],[Hierarchy]],-1,0))-LEN(fTbl[[#This Row],[Field]])-1))))</f>
        <v>oOrders|</v>
      </c>
      <c r="R24">
        <f ca="1">FIND("~",SUBSTITUTE(fTbl[[#This Row],[Hierarchy]],"|","~",1))</f>
        <v>8</v>
      </c>
      <c r="S24" t="e">
        <f ca="1">FIND("~",SUBSTITUTE(fTbl[[#This Row],[Hierarchy]],"|","~",2))</f>
        <v>#VALUE!</v>
      </c>
      <c r="T24" cm="1">
        <f t="array" ref="T24">IF(fTbl[[#This Row],[listlu]]=0,0,IF(INDEX(Ltbl[Context],fTbl[[#This Row],[listlu]],1)="ALL",1,2))</f>
        <v>0</v>
      </c>
      <c r="U24" s="29" t="s">
        <v>100</v>
      </c>
    </row>
    <row r="25" spans="1:21">
      <c r="A25" s="15" t="s">
        <v>25</v>
      </c>
      <c r="B25" t="s">
        <v>101</v>
      </c>
      <c r="D25" s="1"/>
      <c r="E25" s="1"/>
      <c r="F25" s="1"/>
      <c r="G25" s="1"/>
      <c r="H25" s="1"/>
      <c r="I25" s="19" t="s">
        <v>102</v>
      </c>
      <c r="J25" s="28"/>
      <c r="K25" t="str">
        <f ca="1">IFERROR(IF(fTbl[[#This Row],[LT]]="H",MID(fTbl[[#This Row],[Hierarchy]],fTbl[[#This Row],[pipe1]]+1,fTbl[[#This Row],[pipe2]]-fTbl[[#This Row],[pipe1]]-1),LEFT(fTbl[[#This Row],[Hierarchy]],FIND("|",fTbl[[#This Row],[Hierarchy]])-1)),"")</f>
        <v>oOrders</v>
      </c>
      <c r="L25" s="1">
        <f ca="1">IF(ROW()=3,0,OFFSET(fTbl[[#This Row],[Lev]],-1,0)+IF(OFFSET(fTbl[[#This Row],[LT]],-1,0)="H",1,IF(fTbl[[#This Row],[LT]]="!H",-1,0)))</f>
        <v>1</v>
      </c>
      <c r="M25">
        <f>IF(RIGHT(fTbl[[#This Row],[valid]],4)&lt;&gt;"list",0,IFERROR(MATCH(fTbl[[#This Row],[Context]]&amp;"|"&amp;fTbl[[#This Row],[Field]],Ltbl[ind],0),IFERROR(MATCH("ALL|"&amp;fTbl[[#This Row],[Field]],Ltbl[ind],0),-1)))</f>
        <v>0</v>
      </c>
      <c r="N25" t="str" cm="1">
        <f t="array" ref="N25">IF(fTbl[[#This Row],[listlu]]&lt;1,"",IF(INDEX(Ltbl[Generic],fTbl[[#This Row],[listlu]])="","",INDEX(Ltbl[Generic],fTbl[[#This Row],[listlu]])))</f>
        <v/>
      </c>
      <c r="O25">
        <f>IF(AND(fTbl[[#This Row],[listlu]],ISERROR(FIND(",",fTbl[[#This Row],[liMatch]])),fTbl[[#This Row],[liMatch]]&lt;&gt;""),1,0)</f>
        <v>0</v>
      </c>
      <c r="P25">
        <f>IF(AND(fTbl[[#This Row],[LT]]="Ref",ISNA(MATCH(fTbl[[#This Row],[Field]],rTbl[Ref],0))),1,0)</f>
        <v>0</v>
      </c>
      <c r="Q25" t="str">
        <f ca="1">IF(ROW()=3,IF(fTbl[[#This Row],[LT]]="H",fTbl[[#This Row],[Field]]&amp;"|","|"),IF(fTbl[[#This Row],[LT]]="H",fTbl[[#This Row],[Field]]&amp;"|"&amp;OFFSET(fTbl[[#This Row],[Hierarchy]],-1,0),IF(fTbl[[#This Row],[LT]]&lt;&gt;"!H",OFFSET(fTbl[[#This Row],[Hierarchy]],-1,0),RIGHT(OFFSET(fTbl[[#This Row],[Hierarchy]],-1,0),LEN(OFFSET(fTbl[[#This Row],[Hierarchy]],-1,0))-LEN(fTbl[[#This Row],[Field]])-1))))</f>
        <v>oOrders|</v>
      </c>
      <c r="R25">
        <f ca="1">FIND("~",SUBSTITUTE(fTbl[[#This Row],[Hierarchy]],"|","~",1))</f>
        <v>8</v>
      </c>
      <c r="S25" t="e">
        <f ca="1">FIND("~",SUBSTITUTE(fTbl[[#This Row],[Hierarchy]],"|","~",2))</f>
        <v>#VALUE!</v>
      </c>
      <c r="T25" cm="1">
        <f t="array" ref="T25">IF(fTbl[[#This Row],[listlu]]=0,0,IF(INDEX(Ltbl[Context],fTbl[[#This Row],[listlu]],1)="ALL",1,2))</f>
        <v>0</v>
      </c>
      <c r="U25" s="29"/>
    </row>
    <row r="26" spans="1:21">
      <c r="A26" s="15" t="s">
        <v>28</v>
      </c>
      <c r="B26" t="s">
        <v>103</v>
      </c>
      <c r="C26" t="s">
        <v>30</v>
      </c>
      <c r="D26" s="1">
        <v>20</v>
      </c>
      <c r="E26" s="1">
        <v>1</v>
      </c>
      <c r="F26" s="1"/>
      <c r="G26" s="1"/>
      <c r="H26" s="1" t="s">
        <v>104</v>
      </c>
      <c r="I26" s="19" t="s">
        <v>105</v>
      </c>
      <c r="J26" s="28" t="s">
        <v>45</v>
      </c>
      <c r="K26" t="str">
        <f ca="1">IFERROR(IF(fTbl[[#This Row],[LT]]="H",MID(fTbl[[#This Row],[Hierarchy]],fTbl[[#This Row],[pipe1]]+1,fTbl[[#This Row],[pipe2]]-fTbl[[#This Row],[pipe1]]-1),LEFT(fTbl[[#This Row],[Hierarchy]],FIND("|",fTbl[[#This Row],[Hierarchy]])-1)),"")</f>
        <v>oOrders</v>
      </c>
      <c r="L26" s="1">
        <f ca="1">IF(ROW()=3,0,OFFSET(fTbl[[#This Row],[Lev]],-1,0)+IF(OFFSET(fTbl[[#This Row],[LT]],-1,0)="H",1,IF(fTbl[[#This Row],[LT]]="!H",-1,0)))</f>
        <v>1</v>
      </c>
      <c r="M26">
        <f>IF(RIGHT(fTbl[[#This Row],[valid]],4)&lt;&gt;"list",0,IFERROR(MATCH(fTbl[[#This Row],[Context]]&amp;"|"&amp;fTbl[[#This Row],[Field]],Ltbl[ind],0),IFERROR(MATCH("ALL|"&amp;fTbl[[#This Row],[Field]],Ltbl[ind],0),-1)))</f>
        <v>0</v>
      </c>
      <c r="N26" t="str" cm="1">
        <f t="array" ref="N26">IF(fTbl[[#This Row],[listlu]]&lt;1,"",IF(INDEX(Ltbl[Generic],fTbl[[#This Row],[listlu]])="","",INDEX(Ltbl[Generic],fTbl[[#This Row],[listlu]])))</f>
        <v/>
      </c>
      <c r="O26">
        <f>IF(AND(fTbl[[#This Row],[listlu]],ISERROR(FIND(",",fTbl[[#This Row],[liMatch]])),fTbl[[#This Row],[liMatch]]&lt;&gt;""),1,0)</f>
        <v>0</v>
      </c>
      <c r="P26">
        <f>IF(AND(fTbl[[#This Row],[LT]]="Ref",ISNA(MATCH(fTbl[[#This Row],[Field]],rTbl[Ref],0))),1,0)</f>
        <v>0</v>
      </c>
      <c r="Q26" t="str">
        <f ca="1">IF(ROW()=3,IF(fTbl[[#This Row],[LT]]="H",fTbl[[#This Row],[Field]]&amp;"|","|"),IF(fTbl[[#This Row],[LT]]="H",fTbl[[#This Row],[Field]]&amp;"|"&amp;OFFSET(fTbl[[#This Row],[Hierarchy]],-1,0),IF(fTbl[[#This Row],[LT]]&lt;&gt;"!H",OFFSET(fTbl[[#This Row],[Hierarchy]],-1,0),RIGHT(OFFSET(fTbl[[#This Row],[Hierarchy]],-1,0),LEN(OFFSET(fTbl[[#This Row],[Hierarchy]],-1,0))-LEN(fTbl[[#This Row],[Field]])-1))))</f>
        <v>oOrders|</v>
      </c>
      <c r="R26">
        <f ca="1">FIND("~",SUBSTITUTE(fTbl[[#This Row],[Hierarchy]],"|","~",1))</f>
        <v>8</v>
      </c>
      <c r="S26" t="e">
        <f ca="1">FIND("~",SUBSTITUTE(fTbl[[#This Row],[Hierarchy]],"|","~",2))</f>
        <v>#VALUE!</v>
      </c>
      <c r="T26" cm="1">
        <f t="array" ref="T26">IF(fTbl[[#This Row],[listlu]]=0,0,IF(INDEX(Ltbl[Context],fTbl[[#This Row],[listlu]],1)="ALL",1,2))</f>
        <v>0</v>
      </c>
      <c r="U26" s="29" t="s">
        <v>106</v>
      </c>
    </row>
    <row r="27" spans="1:21">
      <c r="A27" s="15" t="s">
        <v>28</v>
      </c>
      <c r="B27" t="s">
        <v>107</v>
      </c>
      <c r="C27" t="s">
        <v>30</v>
      </c>
      <c r="D27" s="1">
        <v>35</v>
      </c>
      <c r="E27" s="1">
        <v>1</v>
      </c>
      <c r="F27" s="1"/>
      <c r="G27" s="1"/>
      <c r="H27" s="1"/>
      <c r="I27" s="19" t="s">
        <v>108</v>
      </c>
      <c r="J27" s="28" t="s">
        <v>109</v>
      </c>
      <c r="K27" t="str">
        <f ca="1">IFERROR(IF(fTbl[[#This Row],[LT]]="H",MID(fTbl[[#This Row],[Hierarchy]],fTbl[[#This Row],[pipe1]]+1,fTbl[[#This Row],[pipe2]]-fTbl[[#This Row],[pipe1]]-1),LEFT(fTbl[[#This Row],[Hierarchy]],FIND("|",fTbl[[#This Row],[Hierarchy]])-1)),"")</f>
        <v>oOrders</v>
      </c>
      <c r="L27" s="1">
        <f ca="1">IF(ROW()=3,0,OFFSET(fTbl[[#This Row],[Lev]],-1,0)+IF(OFFSET(fTbl[[#This Row],[LT]],-1,0)="H",1,IF(fTbl[[#This Row],[LT]]="!H",-1,0)))</f>
        <v>1</v>
      </c>
      <c r="M27">
        <f>IF(RIGHT(fTbl[[#This Row],[valid]],4)&lt;&gt;"list",0,IFERROR(MATCH(fTbl[[#This Row],[Context]]&amp;"|"&amp;fTbl[[#This Row],[Field]],Ltbl[ind],0),IFERROR(MATCH("ALL|"&amp;fTbl[[#This Row],[Field]],Ltbl[ind],0),-1)))</f>
        <v>0</v>
      </c>
      <c r="N27" t="str" cm="1">
        <f t="array" ref="N27">IF(fTbl[[#This Row],[listlu]]&lt;1,"",IF(INDEX(Ltbl[Generic],fTbl[[#This Row],[listlu]])="","",INDEX(Ltbl[Generic],fTbl[[#This Row],[listlu]])))</f>
        <v/>
      </c>
      <c r="O27">
        <f>IF(AND(fTbl[[#This Row],[listlu]],ISERROR(FIND(",",fTbl[[#This Row],[liMatch]])),fTbl[[#This Row],[liMatch]]&lt;&gt;""),1,0)</f>
        <v>0</v>
      </c>
      <c r="P27">
        <f>IF(AND(fTbl[[#This Row],[LT]]="Ref",ISNA(MATCH(fTbl[[#This Row],[Field]],rTbl[Ref],0))),1,0)</f>
        <v>0</v>
      </c>
      <c r="Q27" t="str">
        <f ca="1">IF(ROW()=3,IF(fTbl[[#This Row],[LT]]="H",fTbl[[#This Row],[Field]]&amp;"|","|"),IF(fTbl[[#This Row],[LT]]="H",fTbl[[#This Row],[Field]]&amp;"|"&amp;OFFSET(fTbl[[#This Row],[Hierarchy]],-1,0),IF(fTbl[[#This Row],[LT]]&lt;&gt;"!H",OFFSET(fTbl[[#This Row],[Hierarchy]],-1,0),RIGHT(OFFSET(fTbl[[#This Row],[Hierarchy]],-1,0),LEN(OFFSET(fTbl[[#This Row],[Hierarchy]],-1,0))-LEN(fTbl[[#This Row],[Field]])-1))))</f>
        <v>oOrders|</v>
      </c>
      <c r="R27">
        <f ca="1">FIND("~",SUBSTITUTE(fTbl[[#This Row],[Hierarchy]],"|","~",1))</f>
        <v>8</v>
      </c>
      <c r="S27" t="e">
        <f ca="1">FIND("~",SUBSTITUTE(fTbl[[#This Row],[Hierarchy]],"|","~",2))</f>
        <v>#VALUE!</v>
      </c>
      <c r="T27" cm="1">
        <f t="array" ref="T27">IF(fTbl[[#This Row],[listlu]]=0,0,IF(INDEX(Ltbl[Context],fTbl[[#This Row],[listlu]],1)="ALL",1,2))</f>
        <v>0</v>
      </c>
      <c r="U27" s="29" t="s">
        <v>110</v>
      </c>
    </row>
    <row r="28" spans="1:21">
      <c r="A28" s="15" t="s">
        <v>28</v>
      </c>
      <c r="B28" t="s">
        <v>111</v>
      </c>
      <c r="C28" t="s">
        <v>30</v>
      </c>
      <c r="D28" s="1">
        <v>35</v>
      </c>
      <c r="E28" s="1">
        <v>0</v>
      </c>
      <c r="F28" s="1"/>
      <c r="G28" s="1"/>
      <c r="H28" s="1"/>
      <c r="I28" s="19" t="s">
        <v>108</v>
      </c>
      <c r="J28" s="28" t="s">
        <v>112</v>
      </c>
      <c r="K28" t="str">
        <f ca="1">IFERROR(IF(fTbl[[#This Row],[LT]]="H",MID(fTbl[[#This Row],[Hierarchy]],fTbl[[#This Row],[pipe1]]+1,fTbl[[#This Row],[pipe2]]-fTbl[[#This Row],[pipe1]]-1),LEFT(fTbl[[#This Row],[Hierarchy]],FIND("|",fTbl[[#This Row],[Hierarchy]])-1)),"")</f>
        <v>oOrders</v>
      </c>
      <c r="L28" s="1">
        <f ca="1">IF(ROW()=3,0,OFFSET(fTbl[[#This Row],[Lev]],-1,0)+IF(OFFSET(fTbl[[#This Row],[LT]],-1,0)="H",1,IF(fTbl[[#This Row],[LT]]="!H",-1,0)))</f>
        <v>1</v>
      </c>
      <c r="M28">
        <f>IF(RIGHT(fTbl[[#This Row],[valid]],4)&lt;&gt;"list",0,IFERROR(MATCH(fTbl[[#This Row],[Context]]&amp;"|"&amp;fTbl[[#This Row],[Field]],Ltbl[ind],0),IFERROR(MATCH("ALL|"&amp;fTbl[[#This Row],[Field]],Ltbl[ind],0),-1)))</f>
        <v>0</v>
      </c>
      <c r="N28" t="str" cm="1">
        <f t="array" ref="N28">IF(fTbl[[#This Row],[listlu]]&lt;1,"",IF(INDEX(Ltbl[Generic],fTbl[[#This Row],[listlu]])="","",INDEX(Ltbl[Generic],fTbl[[#This Row],[listlu]])))</f>
        <v/>
      </c>
      <c r="O28">
        <f>IF(AND(fTbl[[#This Row],[listlu]],ISERROR(FIND(",",fTbl[[#This Row],[liMatch]])),fTbl[[#This Row],[liMatch]]&lt;&gt;""),1,0)</f>
        <v>0</v>
      </c>
      <c r="P28">
        <f>IF(AND(fTbl[[#This Row],[LT]]="Ref",ISNA(MATCH(fTbl[[#This Row],[Field]],rTbl[Ref],0))),1,0)</f>
        <v>0</v>
      </c>
      <c r="Q28" t="str">
        <f ca="1">IF(ROW()=3,IF(fTbl[[#This Row],[LT]]="H",fTbl[[#This Row],[Field]]&amp;"|","|"),IF(fTbl[[#This Row],[LT]]="H",fTbl[[#This Row],[Field]]&amp;"|"&amp;OFFSET(fTbl[[#This Row],[Hierarchy]],-1,0),IF(fTbl[[#This Row],[LT]]&lt;&gt;"!H",OFFSET(fTbl[[#This Row],[Hierarchy]],-1,0),RIGHT(OFFSET(fTbl[[#This Row],[Hierarchy]],-1,0),LEN(OFFSET(fTbl[[#This Row],[Hierarchy]],-1,0))-LEN(fTbl[[#This Row],[Field]])-1))))</f>
        <v>oOrders|</v>
      </c>
      <c r="R28">
        <f ca="1">FIND("~",SUBSTITUTE(fTbl[[#This Row],[Hierarchy]],"|","~",1))</f>
        <v>8</v>
      </c>
      <c r="S28" t="e">
        <f ca="1">FIND("~",SUBSTITUTE(fTbl[[#This Row],[Hierarchy]],"|","~",2))</f>
        <v>#VALUE!</v>
      </c>
      <c r="T28" cm="1">
        <f t="array" ref="T28">IF(fTbl[[#This Row],[listlu]]=0,0,IF(INDEX(Ltbl[Context],fTbl[[#This Row],[listlu]],1)="ALL",1,2))</f>
        <v>0</v>
      </c>
      <c r="U28" s="29" t="s">
        <v>113</v>
      </c>
    </row>
    <row r="29" spans="1:21">
      <c r="A29" s="15" t="s">
        <v>28</v>
      </c>
      <c r="B29" t="s">
        <v>114</v>
      </c>
      <c r="C29" t="s">
        <v>30</v>
      </c>
      <c r="D29" s="1">
        <v>35</v>
      </c>
      <c r="E29" s="1">
        <v>0</v>
      </c>
      <c r="F29" s="1"/>
      <c r="G29" s="1"/>
      <c r="H29" s="1"/>
      <c r="I29" s="19" t="s">
        <v>115</v>
      </c>
      <c r="J29" s="28" t="s">
        <v>116</v>
      </c>
      <c r="K29" t="str">
        <f ca="1">IFERROR(IF(fTbl[[#This Row],[LT]]="H",MID(fTbl[[#This Row],[Hierarchy]],fTbl[[#This Row],[pipe1]]+1,fTbl[[#This Row],[pipe2]]-fTbl[[#This Row],[pipe1]]-1),LEFT(fTbl[[#This Row],[Hierarchy]],FIND("|",fTbl[[#This Row],[Hierarchy]])-1)),"")</f>
        <v>oOrders</v>
      </c>
      <c r="L29" s="1">
        <f ca="1">IF(ROW()=3,0,OFFSET(fTbl[[#This Row],[Lev]],-1,0)+IF(OFFSET(fTbl[[#This Row],[LT]],-1,0)="H",1,IF(fTbl[[#This Row],[LT]]="!H",-1,0)))</f>
        <v>1</v>
      </c>
      <c r="M29">
        <f>IF(RIGHT(fTbl[[#This Row],[valid]],4)&lt;&gt;"list",0,IFERROR(MATCH(fTbl[[#This Row],[Context]]&amp;"|"&amp;fTbl[[#This Row],[Field]],Ltbl[ind],0),IFERROR(MATCH("ALL|"&amp;fTbl[[#This Row],[Field]],Ltbl[ind],0),-1)))</f>
        <v>0</v>
      </c>
      <c r="N29" t="str" cm="1">
        <f t="array" ref="N29">IF(fTbl[[#This Row],[listlu]]&lt;1,"",IF(INDEX(Ltbl[Generic],fTbl[[#This Row],[listlu]])="","",INDEX(Ltbl[Generic],fTbl[[#This Row],[listlu]])))</f>
        <v/>
      </c>
      <c r="O29">
        <f>IF(AND(fTbl[[#This Row],[listlu]],ISERROR(FIND(",",fTbl[[#This Row],[liMatch]])),fTbl[[#This Row],[liMatch]]&lt;&gt;""),1,0)</f>
        <v>0</v>
      </c>
      <c r="P29">
        <f>IF(AND(fTbl[[#This Row],[LT]]="Ref",ISNA(MATCH(fTbl[[#This Row],[Field]],rTbl[Ref],0))),1,0)</f>
        <v>0</v>
      </c>
      <c r="Q29" t="str">
        <f ca="1">IF(ROW()=3,IF(fTbl[[#This Row],[LT]]="H",fTbl[[#This Row],[Field]]&amp;"|","|"),IF(fTbl[[#This Row],[LT]]="H",fTbl[[#This Row],[Field]]&amp;"|"&amp;OFFSET(fTbl[[#This Row],[Hierarchy]],-1,0),IF(fTbl[[#This Row],[LT]]&lt;&gt;"!H",OFFSET(fTbl[[#This Row],[Hierarchy]],-1,0),RIGHT(OFFSET(fTbl[[#This Row],[Hierarchy]],-1,0),LEN(OFFSET(fTbl[[#This Row],[Hierarchy]],-1,0))-LEN(fTbl[[#This Row],[Field]])-1))))</f>
        <v>oOrders|</v>
      </c>
      <c r="R29">
        <f ca="1">FIND("~",SUBSTITUTE(fTbl[[#This Row],[Hierarchy]],"|","~",1))</f>
        <v>8</v>
      </c>
      <c r="S29" t="e">
        <f ca="1">FIND("~",SUBSTITUTE(fTbl[[#This Row],[Hierarchy]],"|","~",2))</f>
        <v>#VALUE!</v>
      </c>
      <c r="T29" cm="1">
        <f t="array" ref="T29">IF(fTbl[[#This Row],[listlu]]=0,0,IF(INDEX(Ltbl[Context],fTbl[[#This Row],[listlu]],1)="ALL",1,2))</f>
        <v>0</v>
      </c>
      <c r="U29" s="29"/>
    </row>
    <row r="30" spans="1:21">
      <c r="A30" s="15" t="s">
        <v>28</v>
      </c>
      <c r="B30" t="s">
        <v>117</v>
      </c>
      <c r="C30" t="s">
        <v>30</v>
      </c>
      <c r="D30" s="1">
        <v>250</v>
      </c>
      <c r="E30" s="1">
        <v>0</v>
      </c>
      <c r="F30" s="1"/>
      <c r="G30" s="1"/>
      <c r="H30" s="1"/>
      <c r="I30" s="19" t="s">
        <v>118</v>
      </c>
      <c r="J30" s="28" t="s">
        <v>119</v>
      </c>
      <c r="K30" t="str">
        <f ca="1">IFERROR(IF(fTbl[[#This Row],[LT]]="H",MID(fTbl[[#This Row],[Hierarchy]],fTbl[[#This Row],[pipe1]]+1,fTbl[[#This Row],[pipe2]]-fTbl[[#This Row],[pipe1]]-1),LEFT(fTbl[[#This Row],[Hierarchy]],FIND("|",fTbl[[#This Row],[Hierarchy]])-1)),"")</f>
        <v>oOrders</v>
      </c>
      <c r="L30" s="1">
        <f ca="1">IF(ROW()=3,0,OFFSET(fTbl[[#This Row],[Lev]],-1,0)+IF(OFFSET(fTbl[[#This Row],[LT]],-1,0)="H",1,IF(fTbl[[#This Row],[LT]]="!H",-1,0)))</f>
        <v>1</v>
      </c>
      <c r="M30">
        <f>IF(RIGHT(fTbl[[#This Row],[valid]],4)&lt;&gt;"list",0,IFERROR(MATCH(fTbl[[#This Row],[Context]]&amp;"|"&amp;fTbl[[#This Row],[Field]],Ltbl[ind],0),IFERROR(MATCH("ALL|"&amp;fTbl[[#This Row],[Field]],Ltbl[ind],0),-1)))</f>
        <v>0</v>
      </c>
      <c r="N30" t="str" cm="1">
        <f t="array" ref="N30">IF(fTbl[[#This Row],[listlu]]&lt;1,"",IF(INDEX(Ltbl[Generic],fTbl[[#This Row],[listlu]])="","",INDEX(Ltbl[Generic],fTbl[[#This Row],[listlu]])))</f>
        <v/>
      </c>
      <c r="O30">
        <f>IF(AND(fTbl[[#This Row],[listlu]],ISERROR(FIND(",",fTbl[[#This Row],[liMatch]])),fTbl[[#This Row],[liMatch]]&lt;&gt;""),1,0)</f>
        <v>0</v>
      </c>
      <c r="P30">
        <f>IF(AND(fTbl[[#This Row],[LT]]="Ref",ISNA(MATCH(fTbl[[#This Row],[Field]],rTbl[Ref],0))),1,0)</f>
        <v>0</v>
      </c>
      <c r="Q30" t="str">
        <f ca="1">IF(ROW()=3,IF(fTbl[[#This Row],[LT]]="H",fTbl[[#This Row],[Field]]&amp;"|","|"),IF(fTbl[[#This Row],[LT]]="H",fTbl[[#This Row],[Field]]&amp;"|"&amp;OFFSET(fTbl[[#This Row],[Hierarchy]],-1,0),IF(fTbl[[#This Row],[LT]]&lt;&gt;"!H",OFFSET(fTbl[[#This Row],[Hierarchy]],-1,0),RIGHT(OFFSET(fTbl[[#This Row],[Hierarchy]],-1,0),LEN(OFFSET(fTbl[[#This Row],[Hierarchy]],-1,0))-LEN(fTbl[[#This Row],[Field]])-1))))</f>
        <v>oOrders|</v>
      </c>
      <c r="R30">
        <f ca="1">FIND("~",SUBSTITUTE(fTbl[[#This Row],[Hierarchy]],"|","~",1))</f>
        <v>8</v>
      </c>
      <c r="S30" t="e">
        <f ca="1">FIND("~",SUBSTITUTE(fTbl[[#This Row],[Hierarchy]],"|","~",2))</f>
        <v>#VALUE!</v>
      </c>
      <c r="T30" cm="1">
        <f t="array" ref="T30">IF(fTbl[[#This Row],[listlu]]=0,0,IF(INDEX(Ltbl[Context],fTbl[[#This Row],[listlu]],1)="ALL",1,2))</f>
        <v>0</v>
      </c>
      <c r="U30" s="29"/>
    </row>
    <row r="31" spans="1:21">
      <c r="A31" s="15" t="s">
        <v>28</v>
      </c>
      <c r="B31" t="s">
        <v>120</v>
      </c>
      <c r="C31" t="s">
        <v>30</v>
      </c>
      <c r="D31" s="1">
        <v>200</v>
      </c>
      <c r="E31" s="1">
        <v>0</v>
      </c>
      <c r="F31" s="1"/>
      <c r="G31" s="1"/>
      <c r="H31" s="1"/>
      <c r="I31" s="19" t="s">
        <v>121</v>
      </c>
      <c r="J31" s="28" t="s">
        <v>122</v>
      </c>
      <c r="K31" t="str">
        <f ca="1">IFERROR(IF(fTbl[[#This Row],[LT]]="H",MID(fTbl[[#This Row],[Hierarchy]],fTbl[[#This Row],[pipe1]]+1,fTbl[[#This Row],[pipe2]]-fTbl[[#This Row],[pipe1]]-1),LEFT(fTbl[[#This Row],[Hierarchy]],FIND("|",fTbl[[#This Row],[Hierarchy]])-1)),"")</f>
        <v>oOrders</v>
      </c>
      <c r="L31" s="1">
        <f ca="1">IF(ROW()=3,0,OFFSET(fTbl[[#This Row],[Lev]],-1,0)+IF(OFFSET(fTbl[[#This Row],[LT]],-1,0)="H",1,IF(fTbl[[#This Row],[LT]]="!H",-1,0)))</f>
        <v>1</v>
      </c>
      <c r="M31">
        <f>IF(RIGHT(fTbl[[#This Row],[valid]],4)&lt;&gt;"list",0,IFERROR(MATCH(fTbl[[#This Row],[Context]]&amp;"|"&amp;fTbl[[#This Row],[Field]],Ltbl[ind],0),IFERROR(MATCH("ALL|"&amp;fTbl[[#This Row],[Field]],Ltbl[ind],0),-1)))</f>
        <v>0</v>
      </c>
      <c r="N31" t="str" cm="1">
        <f t="array" ref="N31">IF(fTbl[[#This Row],[listlu]]&lt;1,"",IF(INDEX(Ltbl[Generic],fTbl[[#This Row],[listlu]])="","",INDEX(Ltbl[Generic],fTbl[[#This Row],[listlu]])))</f>
        <v/>
      </c>
      <c r="O31">
        <f>IF(AND(fTbl[[#This Row],[listlu]],ISERROR(FIND(",",fTbl[[#This Row],[liMatch]])),fTbl[[#This Row],[liMatch]]&lt;&gt;""),1,0)</f>
        <v>0</v>
      </c>
      <c r="P31">
        <f>IF(AND(fTbl[[#This Row],[LT]]="Ref",ISNA(MATCH(fTbl[[#This Row],[Field]],rTbl[Ref],0))),1,0)</f>
        <v>0</v>
      </c>
      <c r="Q31" t="str">
        <f ca="1">IF(ROW()=3,IF(fTbl[[#This Row],[LT]]="H",fTbl[[#This Row],[Field]]&amp;"|","|"),IF(fTbl[[#This Row],[LT]]="H",fTbl[[#This Row],[Field]]&amp;"|"&amp;OFFSET(fTbl[[#This Row],[Hierarchy]],-1,0),IF(fTbl[[#This Row],[LT]]&lt;&gt;"!H",OFFSET(fTbl[[#This Row],[Hierarchy]],-1,0),RIGHT(OFFSET(fTbl[[#This Row],[Hierarchy]],-1,0),LEN(OFFSET(fTbl[[#This Row],[Hierarchy]],-1,0))-LEN(fTbl[[#This Row],[Field]])-1))))</f>
        <v>oOrders|</v>
      </c>
      <c r="R31">
        <f ca="1">FIND("~",SUBSTITUTE(fTbl[[#This Row],[Hierarchy]],"|","~",1))</f>
        <v>8</v>
      </c>
      <c r="S31" t="e">
        <f ca="1">FIND("~",SUBSTITUTE(fTbl[[#This Row],[Hierarchy]],"|","~",2))</f>
        <v>#VALUE!</v>
      </c>
      <c r="T31" cm="1">
        <f t="array" ref="T31">IF(fTbl[[#This Row],[listlu]]=0,0,IF(INDEX(Ltbl[Context],fTbl[[#This Row],[listlu]],1)="ALL",1,2))</f>
        <v>0</v>
      </c>
      <c r="U31" s="29"/>
    </row>
    <row r="32" spans="1:21">
      <c r="A32" s="15" t="s">
        <v>123</v>
      </c>
      <c r="B32" t="s">
        <v>124</v>
      </c>
      <c r="D32" s="1"/>
      <c r="E32" s="1">
        <v>1</v>
      </c>
      <c r="F32" s="1" t="s">
        <v>23</v>
      </c>
      <c r="G32" s="1"/>
      <c r="H32" s="1"/>
      <c r="I32" s="19" t="s">
        <v>125</v>
      </c>
      <c r="J32" s="28" t="s">
        <v>126</v>
      </c>
      <c r="K32" t="str">
        <f ca="1">IFERROR(IF(fTbl[[#This Row],[LT]]="H",MID(fTbl[[#This Row],[Hierarchy]],fTbl[[#This Row],[pipe1]]+1,fTbl[[#This Row],[pipe2]]-fTbl[[#This Row],[pipe1]]-1),LEFT(fTbl[[#This Row],[Hierarchy]],FIND("|",fTbl[[#This Row],[Hierarchy]])-1)),"")</f>
        <v>oOrders</v>
      </c>
      <c r="L32" s="1">
        <f ca="1">IF(ROW()=3,0,OFFSET(fTbl[[#This Row],[Lev]],-1,0)+IF(OFFSET(fTbl[[#This Row],[LT]],-1,0)="H",1,IF(fTbl[[#This Row],[LT]]="!H",-1,0)))</f>
        <v>1</v>
      </c>
      <c r="M32">
        <f>IF(RIGHT(fTbl[[#This Row],[valid]],4)&lt;&gt;"list",0,IFERROR(MATCH(fTbl[[#This Row],[Context]]&amp;"|"&amp;fTbl[[#This Row],[Field]],Ltbl[ind],0),IFERROR(MATCH("ALL|"&amp;fTbl[[#This Row],[Field]],Ltbl[ind],0),-1)))</f>
        <v>0</v>
      </c>
      <c r="N32" t="str" cm="1">
        <f t="array" ref="N32">IF(fTbl[[#This Row],[listlu]]&lt;1,"",IF(INDEX(Ltbl[Generic],fTbl[[#This Row],[listlu]])="","",INDEX(Ltbl[Generic],fTbl[[#This Row],[listlu]])))</f>
        <v/>
      </c>
      <c r="O32">
        <f>IF(AND(fTbl[[#This Row],[listlu]],ISERROR(FIND(",",fTbl[[#This Row],[liMatch]])),fTbl[[#This Row],[liMatch]]&lt;&gt;""),1,0)</f>
        <v>0</v>
      </c>
      <c r="P32">
        <f>IF(AND(fTbl[[#This Row],[LT]]="Ref",ISNA(MATCH(fTbl[[#This Row],[Field]],rTbl[Ref],0))),1,0)</f>
        <v>0</v>
      </c>
      <c r="Q32" t="str">
        <f ca="1">IF(ROW()=3,IF(fTbl[[#This Row],[LT]]="H",fTbl[[#This Row],[Field]]&amp;"|","|"),IF(fTbl[[#This Row],[LT]]="H",fTbl[[#This Row],[Field]]&amp;"|"&amp;OFFSET(fTbl[[#This Row],[Hierarchy]],-1,0),IF(fTbl[[#This Row],[LT]]&lt;&gt;"!H",OFFSET(fTbl[[#This Row],[Hierarchy]],-1,0),RIGHT(OFFSET(fTbl[[#This Row],[Hierarchy]],-1,0),LEN(OFFSET(fTbl[[#This Row],[Hierarchy]],-1,0))-LEN(fTbl[[#This Row],[Field]])-1))))</f>
        <v>oOrders|</v>
      </c>
      <c r="R32">
        <f ca="1">FIND("~",SUBSTITUTE(fTbl[[#This Row],[Hierarchy]],"|","~",1))</f>
        <v>8</v>
      </c>
      <c r="S32" t="e">
        <f ca="1">FIND("~",SUBSTITUTE(fTbl[[#This Row],[Hierarchy]],"|","~",2))</f>
        <v>#VALUE!</v>
      </c>
      <c r="T32" cm="1">
        <f t="array" ref="T32">IF(fTbl[[#This Row],[listlu]]=0,0,IF(INDEX(Ltbl[Context],fTbl[[#This Row],[listlu]],1)="ALL",1,2))</f>
        <v>0</v>
      </c>
      <c r="U32" s="29"/>
    </row>
    <row r="33" spans="1:21">
      <c r="A33" s="15" t="s">
        <v>25</v>
      </c>
      <c r="B33" t="s">
        <v>127</v>
      </c>
      <c r="D33" s="1"/>
      <c r="E33" s="1"/>
      <c r="F33" s="1"/>
      <c r="G33" s="1"/>
      <c r="H33" s="1"/>
      <c r="I33" s="19"/>
      <c r="J33" s="28"/>
      <c r="K33" t="str">
        <f ca="1">IFERROR(IF(fTbl[[#This Row],[LT]]="H",MID(fTbl[[#This Row],[Hierarchy]],fTbl[[#This Row],[pipe1]]+1,fTbl[[#This Row],[pipe2]]-fTbl[[#This Row],[pipe1]]-1),LEFT(fTbl[[#This Row],[Hierarchy]],FIND("|",fTbl[[#This Row],[Hierarchy]])-1)),"")</f>
        <v>oOrders</v>
      </c>
      <c r="L33" s="1">
        <f ca="1">IF(ROW()=3,0,OFFSET(fTbl[[#This Row],[Lev]],-1,0)+IF(OFFSET(fTbl[[#This Row],[LT]],-1,0)="H",1,IF(fTbl[[#This Row],[LT]]="!H",-1,0)))</f>
        <v>1</v>
      </c>
      <c r="M33">
        <f>IF(RIGHT(fTbl[[#This Row],[valid]],4)&lt;&gt;"list",0,IFERROR(MATCH(fTbl[[#This Row],[Context]]&amp;"|"&amp;fTbl[[#This Row],[Field]],Ltbl[ind],0),IFERROR(MATCH("ALL|"&amp;fTbl[[#This Row],[Field]],Ltbl[ind],0),-1)))</f>
        <v>0</v>
      </c>
      <c r="N33" t="str" cm="1">
        <f t="array" ref="N33">IF(fTbl[[#This Row],[listlu]]&lt;1,"",IF(INDEX(Ltbl[Generic],fTbl[[#This Row],[listlu]])="","",INDEX(Ltbl[Generic],fTbl[[#This Row],[listlu]])))</f>
        <v/>
      </c>
      <c r="O33">
        <f>IF(AND(fTbl[[#This Row],[listlu]],ISERROR(FIND(",",fTbl[[#This Row],[liMatch]])),fTbl[[#This Row],[liMatch]]&lt;&gt;""),1,0)</f>
        <v>0</v>
      </c>
      <c r="P33">
        <f>IF(AND(fTbl[[#This Row],[LT]]="Ref",ISNA(MATCH(fTbl[[#This Row],[Field]],rTbl[Ref],0))),1,0)</f>
        <v>0</v>
      </c>
      <c r="Q33" t="str">
        <f ca="1">IF(ROW()=3,IF(fTbl[[#This Row],[LT]]="H",fTbl[[#This Row],[Field]]&amp;"|","|"),IF(fTbl[[#This Row],[LT]]="H",fTbl[[#This Row],[Field]]&amp;"|"&amp;OFFSET(fTbl[[#This Row],[Hierarchy]],-1,0),IF(fTbl[[#This Row],[LT]]&lt;&gt;"!H",OFFSET(fTbl[[#This Row],[Hierarchy]],-1,0),RIGHT(OFFSET(fTbl[[#This Row],[Hierarchy]],-1,0),LEN(OFFSET(fTbl[[#This Row],[Hierarchy]],-1,0))-LEN(fTbl[[#This Row],[Field]])-1))))</f>
        <v>oOrders|</v>
      </c>
      <c r="R33">
        <f ca="1">FIND("~",SUBSTITUTE(fTbl[[#This Row],[Hierarchy]],"|","~",1))</f>
        <v>8</v>
      </c>
      <c r="S33" t="e">
        <f ca="1">FIND("~",SUBSTITUTE(fTbl[[#This Row],[Hierarchy]],"|","~",2))</f>
        <v>#VALUE!</v>
      </c>
      <c r="T33" cm="1">
        <f t="array" ref="T33">IF(fTbl[[#This Row],[listlu]]=0,0,IF(INDEX(Ltbl[Context],fTbl[[#This Row],[listlu]],1)="ALL",1,2))</f>
        <v>0</v>
      </c>
      <c r="U33" s="29"/>
    </row>
    <row r="34" spans="1:21">
      <c r="A34" s="15" t="s">
        <v>28</v>
      </c>
      <c r="B34" t="s">
        <v>128</v>
      </c>
      <c r="C34" t="s">
        <v>30</v>
      </c>
      <c r="D34" s="1">
        <v>3</v>
      </c>
      <c r="E34" s="1">
        <v>1</v>
      </c>
      <c r="F34" s="1"/>
      <c r="G34" s="1"/>
      <c r="H34" s="1" t="s">
        <v>129</v>
      </c>
      <c r="I34" s="19" t="s">
        <v>130</v>
      </c>
      <c r="J34" s="28" t="s">
        <v>131</v>
      </c>
      <c r="K34" t="str">
        <f ca="1">IFERROR(IF(fTbl[[#This Row],[LT]]="H",MID(fTbl[[#This Row],[Hierarchy]],fTbl[[#This Row],[pipe1]]+1,fTbl[[#This Row],[pipe2]]-fTbl[[#This Row],[pipe1]]-1),LEFT(fTbl[[#This Row],[Hierarchy]],FIND("|",fTbl[[#This Row],[Hierarchy]])-1)),"")</f>
        <v>oOrders</v>
      </c>
      <c r="L34" s="1">
        <f ca="1">IF(ROW()=3,0,OFFSET(fTbl[[#This Row],[Lev]],-1,0)+IF(OFFSET(fTbl[[#This Row],[LT]],-1,0)="H",1,IF(fTbl[[#This Row],[LT]]="!H",-1,0)))</f>
        <v>1</v>
      </c>
      <c r="M34">
        <f>IF(RIGHT(fTbl[[#This Row],[valid]],4)&lt;&gt;"list",0,IFERROR(MATCH(fTbl[[#This Row],[Context]]&amp;"|"&amp;fTbl[[#This Row],[Field]],Ltbl[ind],0),IFERROR(MATCH("ALL|"&amp;fTbl[[#This Row],[Field]],Ltbl[ind],0),-1)))</f>
        <v>0</v>
      </c>
      <c r="N34" t="str" cm="1">
        <f t="array" ref="N34">IF(fTbl[[#This Row],[listlu]]&lt;1,"",IF(INDEX(Ltbl[Generic],fTbl[[#This Row],[listlu]])="","",INDEX(Ltbl[Generic],fTbl[[#This Row],[listlu]])))</f>
        <v/>
      </c>
      <c r="O34">
        <f>IF(AND(fTbl[[#This Row],[listlu]],ISERROR(FIND(",",fTbl[[#This Row],[liMatch]])),fTbl[[#This Row],[liMatch]]&lt;&gt;""),1,0)</f>
        <v>0</v>
      </c>
      <c r="P34">
        <f>IF(AND(fTbl[[#This Row],[LT]]="Ref",ISNA(MATCH(fTbl[[#This Row],[Field]],rTbl[Ref],0))),1,0)</f>
        <v>0</v>
      </c>
      <c r="Q34" t="str">
        <f ca="1">IF(ROW()=3,IF(fTbl[[#This Row],[LT]]="H",fTbl[[#This Row],[Field]]&amp;"|","|"),IF(fTbl[[#This Row],[LT]]="H",fTbl[[#This Row],[Field]]&amp;"|"&amp;OFFSET(fTbl[[#This Row],[Hierarchy]],-1,0),IF(fTbl[[#This Row],[LT]]&lt;&gt;"!H",OFFSET(fTbl[[#This Row],[Hierarchy]],-1,0),RIGHT(OFFSET(fTbl[[#This Row],[Hierarchy]],-1,0),LEN(OFFSET(fTbl[[#This Row],[Hierarchy]],-1,0))-LEN(fTbl[[#This Row],[Field]])-1))))</f>
        <v>oOrders|</v>
      </c>
      <c r="R34">
        <f ca="1">FIND("~",SUBSTITUTE(fTbl[[#This Row],[Hierarchy]],"|","~",1))</f>
        <v>8</v>
      </c>
      <c r="S34" t="e">
        <f ca="1">FIND("~",SUBSTITUTE(fTbl[[#This Row],[Hierarchy]],"|","~",2))</f>
        <v>#VALUE!</v>
      </c>
      <c r="T34" cm="1">
        <f t="array" ref="T34">IF(fTbl[[#This Row],[listlu]]=0,0,IF(INDEX(Ltbl[Context],fTbl[[#This Row],[listlu]],1)="ALL",1,2))</f>
        <v>0</v>
      </c>
      <c r="U34" s="29"/>
    </row>
    <row r="35" spans="1:21">
      <c r="A35" s="15" t="s">
        <v>28</v>
      </c>
      <c r="B35" t="s">
        <v>132</v>
      </c>
      <c r="C35" t="s">
        <v>133</v>
      </c>
      <c r="D35" s="1"/>
      <c r="E35" s="1">
        <v>0</v>
      </c>
      <c r="F35" s="1"/>
      <c r="G35" s="1"/>
      <c r="H35" s="1"/>
      <c r="I35" s="19" t="s">
        <v>134</v>
      </c>
      <c r="J35" s="28">
        <v>1232.44</v>
      </c>
      <c r="K35" t="str">
        <f ca="1">IFERROR(IF(fTbl[[#This Row],[LT]]="H",MID(fTbl[[#This Row],[Hierarchy]],fTbl[[#This Row],[pipe1]]+1,fTbl[[#This Row],[pipe2]]-fTbl[[#This Row],[pipe1]]-1),LEFT(fTbl[[#This Row],[Hierarchy]],FIND("|",fTbl[[#This Row],[Hierarchy]])-1)),"")</f>
        <v>oOrders</v>
      </c>
      <c r="L35" s="1">
        <f ca="1">IF(ROW()=3,0,OFFSET(fTbl[[#This Row],[Lev]],-1,0)+IF(OFFSET(fTbl[[#This Row],[LT]],-1,0)="H",1,IF(fTbl[[#This Row],[LT]]="!H",-1,0)))</f>
        <v>1</v>
      </c>
      <c r="M35">
        <f>IF(RIGHT(fTbl[[#This Row],[valid]],4)&lt;&gt;"list",0,IFERROR(MATCH(fTbl[[#This Row],[Context]]&amp;"|"&amp;fTbl[[#This Row],[Field]],Ltbl[ind],0),IFERROR(MATCH("ALL|"&amp;fTbl[[#This Row],[Field]],Ltbl[ind],0),-1)))</f>
        <v>0</v>
      </c>
      <c r="N35" t="str" cm="1">
        <f t="array" ref="N35">IF(fTbl[[#This Row],[listlu]]&lt;1,"",IF(INDEX(Ltbl[Generic],fTbl[[#This Row],[listlu]])="","",INDEX(Ltbl[Generic],fTbl[[#This Row],[listlu]])))</f>
        <v/>
      </c>
      <c r="O35">
        <f>IF(AND(fTbl[[#This Row],[listlu]],ISERROR(FIND(",",fTbl[[#This Row],[liMatch]])),fTbl[[#This Row],[liMatch]]&lt;&gt;""),1,0)</f>
        <v>0</v>
      </c>
      <c r="P35">
        <f>IF(AND(fTbl[[#This Row],[LT]]="Ref",ISNA(MATCH(fTbl[[#This Row],[Field]],rTbl[Ref],0))),1,0)</f>
        <v>0</v>
      </c>
      <c r="Q35" t="str">
        <f ca="1">IF(ROW()=3,IF(fTbl[[#This Row],[LT]]="H",fTbl[[#This Row],[Field]]&amp;"|","|"),IF(fTbl[[#This Row],[LT]]="H",fTbl[[#This Row],[Field]]&amp;"|"&amp;OFFSET(fTbl[[#This Row],[Hierarchy]],-1,0),IF(fTbl[[#This Row],[LT]]&lt;&gt;"!H",OFFSET(fTbl[[#This Row],[Hierarchy]],-1,0),RIGHT(OFFSET(fTbl[[#This Row],[Hierarchy]],-1,0),LEN(OFFSET(fTbl[[#This Row],[Hierarchy]],-1,0))-LEN(fTbl[[#This Row],[Field]])-1))))</f>
        <v>oOrders|</v>
      </c>
      <c r="R35">
        <f ca="1">FIND("~",SUBSTITUTE(fTbl[[#This Row],[Hierarchy]],"|","~",1))</f>
        <v>8</v>
      </c>
      <c r="S35" t="e">
        <f ca="1">FIND("~",SUBSTITUTE(fTbl[[#This Row],[Hierarchy]],"|","~",2))</f>
        <v>#VALUE!</v>
      </c>
      <c r="T35" cm="1">
        <f t="array" ref="T35">IF(fTbl[[#This Row],[listlu]]=0,0,IF(INDEX(Ltbl[Context],fTbl[[#This Row],[listlu]],1)="ALL",1,2))</f>
        <v>0</v>
      </c>
      <c r="U35" s="29"/>
    </row>
    <row r="36" spans="1:21">
      <c r="A36" s="15" t="s">
        <v>28</v>
      </c>
      <c r="B36" t="s">
        <v>135</v>
      </c>
      <c r="C36" t="s">
        <v>30</v>
      </c>
      <c r="D36" s="1">
        <v>3</v>
      </c>
      <c r="E36" s="1">
        <v>0</v>
      </c>
      <c r="F36" s="1"/>
      <c r="G36" s="1"/>
      <c r="H36" s="1" t="s">
        <v>129</v>
      </c>
      <c r="I36" s="19" t="s">
        <v>136</v>
      </c>
      <c r="J36" s="28" t="s">
        <v>137</v>
      </c>
      <c r="K36" t="str">
        <f ca="1">IFERROR(IF(fTbl[[#This Row],[LT]]="H",MID(fTbl[[#This Row],[Hierarchy]],fTbl[[#This Row],[pipe1]]+1,fTbl[[#This Row],[pipe2]]-fTbl[[#This Row],[pipe1]]-1),LEFT(fTbl[[#This Row],[Hierarchy]],FIND("|",fTbl[[#This Row],[Hierarchy]])-1)),"")</f>
        <v>oOrders</v>
      </c>
      <c r="L36" s="1">
        <f ca="1">IF(ROW()=3,0,OFFSET(fTbl[[#This Row],[Lev]],-1,0)+IF(OFFSET(fTbl[[#This Row],[LT]],-1,0)="H",1,IF(fTbl[[#This Row],[LT]]="!H",-1,0)))</f>
        <v>1</v>
      </c>
      <c r="M36">
        <f>IF(RIGHT(fTbl[[#This Row],[valid]],4)&lt;&gt;"list",0,IFERROR(MATCH(fTbl[[#This Row],[Context]]&amp;"|"&amp;fTbl[[#This Row],[Field]],Ltbl[ind],0),IFERROR(MATCH("ALL|"&amp;fTbl[[#This Row],[Field]],Ltbl[ind],0),-1)))</f>
        <v>0</v>
      </c>
      <c r="N36" t="str" cm="1">
        <f t="array" ref="N36">IF(fTbl[[#This Row],[listlu]]&lt;1,"",IF(INDEX(Ltbl[Generic],fTbl[[#This Row],[listlu]])="","",INDEX(Ltbl[Generic],fTbl[[#This Row],[listlu]])))</f>
        <v/>
      </c>
      <c r="O36">
        <f>IF(AND(fTbl[[#This Row],[listlu]],ISERROR(FIND(",",fTbl[[#This Row],[liMatch]])),fTbl[[#This Row],[liMatch]]&lt;&gt;""),1,0)</f>
        <v>0</v>
      </c>
      <c r="P36">
        <f>IF(AND(fTbl[[#This Row],[LT]]="Ref",ISNA(MATCH(fTbl[[#This Row],[Field]],rTbl[Ref],0))),1,0)</f>
        <v>0</v>
      </c>
      <c r="Q36" t="str">
        <f ca="1">IF(ROW()=3,IF(fTbl[[#This Row],[LT]]="H",fTbl[[#This Row],[Field]]&amp;"|","|"),IF(fTbl[[#This Row],[LT]]="H",fTbl[[#This Row],[Field]]&amp;"|"&amp;OFFSET(fTbl[[#This Row],[Hierarchy]],-1,0),IF(fTbl[[#This Row],[LT]]&lt;&gt;"!H",OFFSET(fTbl[[#This Row],[Hierarchy]],-1,0),RIGHT(OFFSET(fTbl[[#This Row],[Hierarchy]],-1,0),LEN(OFFSET(fTbl[[#This Row],[Hierarchy]],-1,0))-LEN(fTbl[[#This Row],[Field]])-1))))</f>
        <v>oOrders|</v>
      </c>
      <c r="R36">
        <f ca="1">FIND("~",SUBSTITUTE(fTbl[[#This Row],[Hierarchy]],"|","~",1))</f>
        <v>8</v>
      </c>
      <c r="S36" t="e">
        <f ca="1">FIND("~",SUBSTITUTE(fTbl[[#This Row],[Hierarchy]],"|","~",2))</f>
        <v>#VALUE!</v>
      </c>
      <c r="T36" cm="1">
        <f t="array" ref="T36">IF(fTbl[[#This Row],[listlu]]=0,0,IF(INDEX(Ltbl[Context],fTbl[[#This Row],[listlu]],1)="ALL",1,2))</f>
        <v>0</v>
      </c>
      <c r="U36" s="29"/>
    </row>
    <row r="37" spans="1:21">
      <c r="A37" s="15" t="s">
        <v>28</v>
      </c>
      <c r="B37" t="s">
        <v>138</v>
      </c>
      <c r="C37" t="s">
        <v>133</v>
      </c>
      <c r="D37" s="1"/>
      <c r="E37" s="1">
        <v>0</v>
      </c>
      <c r="F37" s="1"/>
      <c r="G37" s="1"/>
      <c r="H37" s="1"/>
      <c r="I37" s="19" t="s">
        <v>139</v>
      </c>
      <c r="J37" s="28">
        <v>234.23</v>
      </c>
      <c r="K37" t="str">
        <f ca="1">IFERROR(IF(fTbl[[#This Row],[LT]]="H",MID(fTbl[[#This Row],[Hierarchy]],fTbl[[#This Row],[pipe1]]+1,fTbl[[#This Row],[pipe2]]-fTbl[[#This Row],[pipe1]]-1),LEFT(fTbl[[#This Row],[Hierarchy]],FIND("|",fTbl[[#This Row],[Hierarchy]])-1)),"")</f>
        <v>oOrders</v>
      </c>
      <c r="L37" s="1">
        <f ca="1">IF(ROW()=3,0,OFFSET(fTbl[[#This Row],[Lev]],-1,0)+IF(OFFSET(fTbl[[#This Row],[LT]],-1,0)="H",1,IF(fTbl[[#This Row],[LT]]="!H",-1,0)))</f>
        <v>1</v>
      </c>
      <c r="M37">
        <f>IF(RIGHT(fTbl[[#This Row],[valid]],4)&lt;&gt;"list",0,IFERROR(MATCH(fTbl[[#This Row],[Context]]&amp;"|"&amp;fTbl[[#This Row],[Field]],Ltbl[ind],0),IFERROR(MATCH("ALL|"&amp;fTbl[[#This Row],[Field]],Ltbl[ind],0),-1)))</f>
        <v>0</v>
      </c>
      <c r="N37" t="str" cm="1">
        <f t="array" ref="N37">IF(fTbl[[#This Row],[listlu]]&lt;1,"",IF(INDEX(Ltbl[Generic],fTbl[[#This Row],[listlu]])="","",INDEX(Ltbl[Generic],fTbl[[#This Row],[listlu]])))</f>
        <v/>
      </c>
      <c r="O37">
        <f>IF(AND(fTbl[[#This Row],[listlu]],ISERROR(FIND(",",fTbl[[#This Row],[liMatch]])),fTbl[[#This Row],[liMatch]]&lt;&gt;""),1,0)</f>
        <v>0</v>
      </c>
      <c r="P37">
        <f>IF(AND(fTbl[[#This Row],[LT]]="Ref",ISNA(MATCH(fTbl[[#This Row],[Field]],rTbl[Ref],0))),1,0)</f>
        <v>0</v>
      </c>
      <c r="Q37" t="str">
        <f ca="1">IF(ROW()=3,IF(fTbl[[#This Row],[LT]]="H",fTbl[[#This Row],[Field]]&amp;"|","|"),IF(fTbl[[#This Row],[LT]]="H",fTbl[[#This Row],[Field]]&amp;"|"&amp;OFFSET(fTbl[[#This Row],[Hierarchy]],-1,0),IF(fTbl[[#This Row],[LT]]&lt;&gt;"!H",OFFSET(fTbl[[#This Row],[Hierarchy]],-1,0),RIGHT(OFFSET(fTbl[[#This Row],[Hierarchy]],-1,0),LEN(OFFSET(fTbl[[#This Row],[Hierarchy]],-1,0))-LEN(fTbl[[#This Row],[Field]])-1))))</f>
        <v>oOrders|</v>
      </c>
      <c r="R37">
        <f ca="1">FIND("~",SUBSTITUTE(fTbl[[#This Row],[Hierarchy]],"|","~",1))</f>
        <v>8</v>
      </c>
      <c r="S37" t="e">
        <f ca="1">FIND("~",SUBSTITUTE(fTbl[[#This Row],[Hierarchy]],"|","~",2))</f>
        <v>#VALUE!</v>
      </c>
      <c r="T37" cm="1">
        <f t="array" ref="T37">IF(fTbl[[#This Row],[listlu]]=0,0,IF(INDEX(Ltbl[Context],fTbl[[#This Row],[listlu]],1)="ALL",1,2))</f>
        <v>0</v>
      </c>
      <c r="U37" s="29"/>
    </row>
    <row r="38" spans="1:21">
      <c r="A38" s="15" t="s">
        <v>28</v>
      </c>
      <c r="B38" t="s">
        <v>140</v>
      </c>
      <c r="C38" t="s">
        <v>133</v>
      </c>
      <c r="D38" s="1"/>
      <c r="E38" s="1">
        <v>0</v>
      </c>
      <c r="F38" s="1"/>
      <c r="G38" s="1"/>
      <c r="H38" s="1"/>
      <c r="I38" s="19" t="s">
        <v>141</v>
      </c>
      <c r="J38" s="28">
        <v>100.33</v>
      </c>
      <c r="K38" t="str">
        <f ca="1">IFERROR(IF(fTbl[[#This Row],[LT]]="H",MID(fTbl[[#This Row],[Hierarchy]],fTbl[[#This Row],[pipe1]]+1,fTbl[[#This Row],[pipe2]]-fTbl[[#This Row],[pipe1]]-1),LEFT(fTbl[[#This Row],[Hierarchy]],FIND("|",fTbl[[#This Row],[Hierarchy]])-1)),"")</f>
        <v>oOrders</v>
      </c>
      <c r="L38" s="1">
        <f ca="1">IF(ROW()=3,0,OFFSET(fTbl[[#This Row],[Lev]],-1,0)+IF(OFFSET(fTbl[[#This Row],[LT]],-1,0)="H",1,IF(fTbl[[#This Row],[LT]]="!H",-1,0)))</f>
        <v>1</v>
      </c>
      <c r="M38">
        <f>IF(RIGHT(fTbl[[#This Row],[valid]],4)&lt;&gt;"list",0,IFERROR(MATCH(fTbl[[#This Row],[Context]]&amp;"|"&amp;fTbl[[#This Row],[Field]],Ltbl[ind],0),IFERROR(MATCH("ALL|"&amp;fTbl[[#This Row],[Field]],Ltbl[ind],0),-1)))</f>
        <v>0</v>
      </c>
      <c r="N38" t="str" cm="1">
        <f t="array" ref="N38">IF(fTbl[[#This Row],[listlu]]&lt;1,"",IF(INDEX(Ltbl[Generic],fTbl[[#This Row],[listlu]])="","",INDEX(Ltbl[Generic],fTbl[[#This Row],[listlu]])))</f>
        <v/>
      </c>
      <c r="O38">
        <f>IF(AND(fTbl[[#This Row],[listlu]],ISERROR(FIND(",",fTbl[[#This Row],[liMatch]])),fTbl[[#This Row],[liMatch]]&lt;&gt;""),1,0)</f>
        <v>0</v>
      </c>
      <c r="P38">
        <f>IF(AND(fTbl[[#This Row],[LT]]="Ref",ISNA(MATCH(fTbl[[#This Row],[Field]],rTbl[Ref],0))),1,0)</f>
        <v>0</v>
      </c>
      <c r="Q38" t="str">
        <f ca="1">IF(ROW()=3,IF(fTbl[[#This Row],[LT]]="H",fTbl[[#This Row],[Field]]&amp;"|","|"),IF(fTbl[[#This Row],[LT]]="H",fTbl[[#This Row],[Field]]&amp;"|"&amp;OFFSET(fTbl[[#This Row],[Hierarchy]],-1,0),IF(fTbl[[#This Row],[LT]]&lt;&gt;"!H",OFFSET(fTbl[[#This Row],[Hierarchy]],-1,0),RIGHT(OFFSET(fTbl[[#This Row],[Hierarchy]],-1,0),LEN(OFFSET(fTbl[[#This Row],[Hierarchy]],-1,0))-LEN(fTbl[[#This Row],[Field]])-1))))</f>
        <v>oOrders|</v>
      </c>
      <c r="R38">
        <f ca="1">FIND("~",SUBSTITUTE(fTbl[[#This Row],[Hierarchy]],"|","~",1))</f>
        <v>8</v>
      </c>
      <c r="S38" t="e">
        <f ca="1">FIND("~",SUBSTITUTE(fTbl[[#This Row],[Hierarchy]],"|","~",2))</f>
        <v>#VALUE!</v>
      </c>
      <c r="T38" cm="1">
        <f t="array" ref="T38">IF(fTbl[[#This Row],[listlu]]=0,0,IF(INDEX(Ltbl[Context],fTbl[[#This Row],[listlu]],1)="ALL",1,2))</f>
        <v>0</v>
      </c>
      <c r="U38" s="29"/>
    </row>
    <row r="39" spans="1:21">
      <c r="A39" s="15" t="s">
        <v>123</v>
      </c>
      <c r="B39" t="s">
        <v>142</v>
      </c>
      <c r="D39" s="1"/>
      <c r="E39" s="1">
        <v>0</v>
      </c>
      <c r="F39" s="1" t="s">
        <v>23</v>
      </c>
      <c r="G39" s="1"/>
      <c r="H39" s="1"/>
      <c r="I39" s="19" t="s">
        <v>143</v>
      </c>
      <c r="J39" s="28"/>
      <c r="K39" t="str">
        <f ca="1">IFERROR(IF(fTbl[[#This Row],[LT]]="H",MID(fTbl[[#This Row],[Hierarchy]],fTbl[[#This Row],[pipe1]]+1,fTbl[[#This Row],[pipe2]]-fTbl[[#This Row],[pipe1]]-1),LEFT(fTbl[[#This Row],[Hierarchy]],FIND("|",fTbl[[#This Row],[Hierarchy]])-1)),"")</f>
        <v>oOrders</v>
      </c>
      <c r="L39" s="1">
        <f ca="1">IF(ROW()=3,0,OFFSET(fTbl[[#This Row],[Lev]],-1,0)+IF(OFFSET(fTbl[[#This Row],[LT]],-1,0)="H",1,IF(fTbl[[#This Row],[LT]]="!H",-1,0)))</f>
        <v>1</v>
      </c>
      <c r="M39">
        <f>IF(RIGHT(fTbl[[#This Row],[valid]],4)&lt;&gt;"list",0,IFERROR(MATCH(fTbl[[#This Row],[Context]]&amp;"|"&amp;fTbl[[#This Row],[Field]],Ltbl[ind],0),IFERROR(MATCH("ALL|"&amp;fTbl[[#This Row],[Field]],Ltbl[ind],0),-1)))</f>
        <v>0</v>
      </c>
      <c r="N39" t="str" cm="1">
        <f t="array" ref="N39">IF(fTbl[[#This Row],[listlu]]&lt;1,"",IF(INDEX(Ltbl[Generic],fTbl[[#This Row],[listlu]])="","",INDEX(Ltbl[Generic],fTbl[[#This Row],[listlu]])))</f>
        <v/>
      </c>
      <c r="O39">
        <f>IF(AND(fTbl[[#This Row],[listlu]],ISERROR(FIND(",",fTbl[[#This Row],[liMatch]])),fTbl[[#This Row],[liMatch]]&lt;&gt;""),1,0)</f>
        <v>0</v>
      </c>
      <c r="P39">
        <f>IF(AND(fTbl[[#This Row],[LT]]="Ref",ISNA(MATCH(fTbl[[#This Row],[Field]],rTbl[Ref],0))),1,0)</f>
        <v>0</v>
      </c>
      <c r="Q39" t="str">
        <f ca="1">IF(ROW()=3,IF(fTbl[[#This Row],[LT]]="H",fTbl[[#This Row],[Field]]&amp;"|","|"),IF(fTbl[[#This Row],[LT]]="H",fTbl[[#This Row],[Field]]&amp;"|"&amp;OFFSET(fTbl[[#This Row],[Hierarchy]],-1,0),IF(fTbl[[#This Row],[LT]]&lt;&gt;"!H",OFFSET(fTbl[[#This Row],[Hierarchy]],-1,0),RIGHT(OFFSET(fTbl[[#This Row],[Hierarchy]],-1,0),LEN(OFFSET(fTbl[[#This Row],[Hierarchy]],-1,0))-LEN(fTbl[[#This Row],[Field]])-1))))</f>
        <v>oOrders|</v>
      </c>
      <c r="R39">
        <f ca="1">FIND("~",SUBSTITUTE(fTbl[[#This Row],[Hierarchy]],"|","~",1))</f>
        <v>8</v>
      </c>
      <c r="S39" t="e">
        <f ca="1">FIND("~",SUBSTITUTE(fTbl[[#This Row],[Hierarchy]],"|","~",2))</f>
        <v>#VALUE!</v>
      </c>
      <c r="T39" cm="1">
        <f t="array" ref="T39">IF(fTbl[[#This Row],[listlu]]=0,0,IF(INDEX(Ltbl[Context],fTbl[[#This Row],[listlu]],1)="ALL",1,2))</f>
        <v>0</v>
      </c>
      <c r="U39" s="29"/>
    </row>
    <row r="40" spans="1:21">
      <c r="A40" s="15" t="s">
        <v>21</v>
      </c>
      <c r="B40" t="s">
        <v>144</v>
      </c>
      <c r="D40" s="1"/>
      <c r="E40" s="1">
        <v>1</v>
      </c>
      <c r="F40" s="1" t="s">
        <v>23</v>
      </c>
      <c r="G40" s="1"/>
      <c r="H40" s="1"/>
      <c r="I40" s="19" t="s">
        <v>145</v>
      </c>
      <c r="J40" s="28"/>
      <c r="K40" t="str">
        <f ca="1">IFERROR(IF(fTbl[[#This Row],[LT]]="H",MID(fTbl[[#This Row],[Hierarchy]],fTbl[[#This Row],[pipe1]]+1,fTbl[[#This Row],[pipe2]]-fTbl[[#This Row],[pipe1]]-1),LEFT(fTbl[[#This Row],[Hierarchy]],FIND("|",fTbl[[#This Row],[Hierarchy]])-1)),"")</f>
        <v>oOrders</v>
      </c>
      <c r="L40" s="1">
        <f ca="1">IF(ROW()=3,0,OFFSET(fTbl[[#This Row],[Lev]],-1,0)+IF(OFFSET(fTbl[[#This Row],[LT]],-1,0)="H",1,IF(fTbl[[#This Row],[LT]]="!H",-1,0)))</f>
        <v>1</v>
      </c>
      <c r="M40">
        <f>IF(RIGHT(fTbl[[#This Row],[valid]],4)&lt;&gt;"list",0,IFERROR(MATCH(fTbl[[#This Row],[Context]]&amp;"|"&amp;fTbl[[#This Row],[Field]],Ltbl[ind],0),IFERROR(MATCH("ALL|"&amp;fTbl[[#This Row],[Field]],Ltbl[ind],0),-1)))</f>
        <v>0</v>
      </c>
      <c r="N40" t="str" cm="1">
        <f t="array" ref="N40">IF(fTbl[[#This Row],[listlu]]&lt;1,"",IF(INDEX(Ltbl[Generic],fTbl[[#This Row],[listlu]])="","",INDEX(Ltbl[Generic],fTbl[[#This Row],[listlu]])))</f>
        <v/>
      </c>
      <c r="O40">
        <f>IF(AND(fTbl[[#This Row],[listlu]],ISERROR(FIND(",",fTbl[[#This Row],[liMatch]])),fTbl[[#This Row],[liMatch]]&lt;&gt;""),1,0)</f>
        <v>0</v>
      </c>
      <c r="P40">
        <f>IF(AND(fTbl[[#This Row],[LT]]="Ref",ISNA(MATCH(fTbl[[#This Row],[Field]],rTbl[Ref],0))),1,0)</f>
        <v>0</v>
      </c>
      <c r="Q40" t="str">
        <f ca="1">IF(ROW()=3,IF(fTbl[[#This Row],[LT]]="H",fTbl[[#This Row],[Field]]&amp;"|","|"),IF(fTbl[[#This Row],[LT]]="H",fTbl[[#This Row],[Field]]&amp;"|"&amp;OFFSET(fTbl[[#This Row],[Hierarchy]],-1,0),IF(fTbl[[#This Row],[LT]]&lt;&gt;"!H",OFFSET(fTbl[[#This Row],[Hierarchy]],-1,0),RIGHT(OFFSET(fTbl[[#This Row],[Hierarchy]],-1,0),LEN(OFFSET(fTbl[[#This Row],[Hierarchy]],-1,0))-LEN(fTbl[[#This Row],[Field]])-1))))</f>
        <v>oOrderLines|oOrders|</v>
      </c>
      <c r="R40">
        <f ca="1">FIND("~",SUBSTITUTE(fTbl[[#This Row],[Hierarchy]],"|","~",1))</f>
        <v>12</v>
      </c>
      <c r="S40">
        <f ca="1">FIND("~",SUBSTITUTE(fTbl[[#This Row],[Hierarchy]],"|","~",2))</f>
        <v>20</v>
      </c>
      <c r="T40" cm="1">
        <f t="array" ref="T40">IF(fTbl[[#This Row],[listlu]]=0,0,IF(INDEX(Ltbl[Context],fTbl[[#This Row],[listlu]],1)="ALL",1,2))</f>
        <v>0</v>
      </c>
      <c r="U40" s="29"/>
    </row>
    <row r="41" spans="1:21">
      <c r="A41" s="15" t="s">
        <v>28</v>
      </c>
      <c r="B41" t="s">
        <v>146</v>
      </c>
      <c r="C41" t="s">
        <v>84</v>
      </c>
      <c r="D41" s="1"/>
      <c r="E41" s="1">
        <v>1</v>
      </c>
      <c r="F41" s="1"/>
      <c r="G41" s="1"/>
      <c r="H41" s="1"/>
      <c r="I41" s="19" t="s">
        <v>147</v>
      </c>
      <c r="J41" s="28" t="s">
        <v>148</v>
      </c>
      <c r="K41" t="str">
        <f ca="1">IFERROR(IF(fTbl[[#This Row],[LT]]="H",MID(fTbl[[#This Row],[Hierarchy]],fTbl[[#This Row],[pipe1]]+1,fTbl[[#This Row],[pipe2]]-fTbl[[#This Row],[pipe1]]-1),LEFT(fTbl[[#This Row],[Hierarchy]],FIND("|",fTbl[[#This Row],[Hierarchy]])-1)),"")</f>
        <v>oOrderLines</v>
      </c>
      <c r="L41" s="1">
        <f ca="1">IF(ROW()=3,0,OFFSET(fTbl[[#This Row],[Lev]],-1,0)+IF(OFFSET(fTbl[[#This Row],[LT]],-1,0)="H",1,IF(fTbl[[#This Row],[LT]]="!H",-1,0)))</f>
        <v>2</v>
      </c>
      <c r="M41">
        <f>IF(RIGHT(fTbl[[#This Row],[valid]],4)&lt;&gt;"list",0,IFERROR(MATCH(fTbl[[#This Row],[Context]]&amp;"|"&amp;fTbl[[#This Row],[Field]],Ltbl[ind],0),IFERROR(MATCH("ALL|"&amp;fTbl[[#This Row],[Field]],Ltbl[ind],0),-1)))</f>
        <v>0</v>
      </c>
      <c r="N41" t="str" cm="1">
        <f t="array" ref="N41">IF(fTbl[[#This Row],[listlu]]&lt;1,"",IF(INDEX(Ltbl[Generic],fTbl[[#This Row],[listlu]])="","",INDEX(Ltbl[Generic],fTbl[[#This Row],[listlu]])))</f>
        <v/>
      </c>
      <c r="O41">
        <f>IF(AND(fTbl[[#This Row],[listlu]],ISERROR(FIND(",",fTbl[[#This Row],[liMatch]])),fTbl[[#This Row],[liMatch]]&lt;&gt;""),1,0)</f>
        <v>0</v>
      </c>
      <c r="P41">
        <f>IF(AND(fTbl[[#This Row],[LT]]="Ref",ISNA(MATCH(fTbl[[#This Row],[Field]],rTbl[Ref],0))),1,0)</f>
        <v>0</v>
      </c>
      <c r="Q41" t="str">
        <f ca="1">IF(ROW()=3,IF(fTbl[[#This Row],[LT]]="H",fTbl[[#This Row],[Field]]&amp;"|","|"),IF(fTbl[[#This Row],[LT]]="H",fTbl[[#This Row],[Field]]&amp;"|"&amp;OFFSET(fTbl[[#This Row],[Hierarchy]],-1,0),IF(fTbl[[#This Row],[LT]]&lt;&gt;"!H",OFFSET(fTbl[[#This Row],[Hierarchy]],-1,0),RIGHT(OFFSET(fTbl[[#This Row],[Hierarchy]],-1,0),LEN(OFFSET(fTbl[[#This Row],[Hierarchy]],-1,0))-LEN(fTbl[[#This Row],[Field]])-1))))</f>
        <v>oOrderLines|oOrders|</v>
      </c>
      <c r="R41">
        <f ca="1">FIND("~",SUBSTITUTE(fTbl[[#This Row],[Hierarchy]],"|","~",1))</f>
        <v>12</v>
      </c>
      <c r="S41">
        <f ca="1">FIND("~",SUBSTITUTE(fTbl[[#This Row],[Hierarchy]],"|","~",2))</f>
        <v>20</v>
      </c>
      <c r="T41" cm="1">
        <f t="array" ref="T41">IF(fTbl[[#This Row],[listlu]]=0,0,IF(INDEX(Ltbl[Context],fTbl[[#This Row],[listlu]],1)="ALL",1,2))</f>
        <v>0</v>
      </c>
      <c r="U41" s="29" t="s">
        <v>149</v>
      </c>
    </row>
    <row r="42" spans="1:21">
      <c r="A42" s="15" t="s">
        <v>28</v>
      </c>
      <c r="B42" t="s">
        <v>150</v>
      </c>
      <c r="C42" t="s">
        <v>84</v>
      </c>
      <c r="D42" s="1"/>
      <c r="E42" s="1">
        <v>0</v>
      </c>
      <c r="F42" s="1"/>
      <c r="G42" s="1"/>
      <c r="H42" s="1"/>
      <c r="I42" s="19" t="s">
        <v>151</v>
      </c>
      <c r="J42" s="28">
        <v>13</v>
      </c>
      <c r="K42" t="str">
        <f ca="1">IFERROR(IF(fTbl[[#This Row],[LT]]="H",MID(fTbl[[#This Row],[Hierarchy]],fTbl[[#This Row],[pipe1]]+1,fTbl[[#This Row],[pipe2]]-fTbl[[#This Row],[pipe1]]-1),LEFT(fTbl[[#This Row],[Hierarchy]],FIND("|",fTbl[[#This Row],[Hierarchy]])-1)),"")</f>
        <v>oOrderLines</v>
      </c>
      <c r="L42" s="1">
        <f ca="1">IF(ROW()=3,0,OFFSET(fTbl[[#This Row],[Lev]],-1,0)+IF(OFFSET(fTbl[[#This Row],[LT]],-1,0)="H",1,IF(fTbl[[#This Row],[LT]]="!H",-1,0)))</f>
        <v>2</v>
      </c>
      <c r="M42">
        <f>IF(RIGHT(fTbl[[#This Row],[valid]],4)&lt;&gt;"list",0,IFERROR(MATCH(fTbl[[#This Row],[Context]]&amp;"|"&amp;fTbl[[#This Row],[Field]],Ltbl[ind],0),IFERROR(MATCH("ALL|"&amp;fTbl[[#This Row],[Field]],Ltbl[ind],0),-1)))</f>
        <v>0</v>
      </c>
      <c r="N42" t="str" cm="1">
        <f t="array" ref="N42">IF(fTbl[[#This Row],[listlu]]&lt;1,"",IF(INDEX(Ltbl[Generic],fTbl[[#This Row],[listlu]])="","",INDEX(Ltbl[Generic],fTbl[[#This Row],[listlu]])))</f>
        <v/>
      </c>
      <c r="O42">
        <f>IF(AND(fTbl[[#This Row],[listlu]],ISERROR(FIND(",",fTbl[[#This Row],[liMatch]])),fTbl[[#This Row],[liMatch]]&lt;&gt;""),1,0)</f>
        <v>0</v>
      </c>
      <c r="P42">
        <f>IF(AND(fTbl[[#This Row],[LT]]="Ref",ISNA(MATCH(fTbl[[#This Row],[Field]],rTbl[Ref],0))),1,0)</f>
        <v>0</v>
      </c>
      <c r="Q42" t="str">
        <f ca="1">IF(ROW()=3,IF(fTbl[[#This Row],[LT]]="H",fTbl[[#This Row],[Field]]&amp;"|","|"),IF(fTbl[[#This Row],[LT]]="H",fTbl[[#This Row],[Field]]&amp;"|"&amp;OFFSET(fTbl[[#This Row],[Hierarchy]],-1,0),IF(fTbl[[#This Row],[LT]]&lt;&gt;"!H",OFFSET(fTbl[[#This Row],[Hierarchy]],-1,0),RIGHT(OFFSET(fTbl[[#This Row],[Hierarchy]],-1,0),LEN(OFFSET(fTbl[[#This Row],[Hierarchy]],-1,0))-LEN(fTbl[[#This Row],[Field]])-1))))</f>
        <v>oOrderLines|oOrders|</v>
      </c>
      <c r="R42">
        <f ca="1">FIND("~",SUBSTITUTE(fTbl[[#This Row],[Hierarchy]],"|","~",1))</f>
        <v>12</v>
      </c>
      <c r="S42">
        <f ca="1">FIND("~",SUBSTITUTE(fTbl[[#This Row],[Hierarchy]],"|","~",2))</f>
        <v>20</v>
      </c>
      <c r="T42" cm="1">
        <f t="array" ref="T42">IF(fTbl[[#This Row],[listlu]]=0,0,IF(INDEX(Ltbl[Context],fTbl[[#This Row],[listlu]],1)="ALL",1,2))</f>
        <v>0</v>
      </c>
      <c r="U42" s="29"/>
    </row>
    <row r="43" spans="1:21">
      <c r="A43" s="15" t="s">
        <v>28</v>
      </c>
      <c r="B43" t="s">
        <v>152</v>
      </c>
      <c r="C43" t="s">
        <v>30</v>
      </c>
      <c r="D43" s="1">
        <v>30</v>
      </c>
      <c r="E43" s="1">
        <v>1</v>
      </c>
      <c r="F43" s="1"/>
      <c r="G43" s="1"/>
      <c r="H43" s="1"/>
      <c r="I43" s="19" t="s">
        <v>153</v>
      </c>
      <c r="J43" s="28" t="s">
        <v>154</v>
      </c>
      <c r="K43" t="str">
        <f ca="1">IFERROR(IF(fTbl[[#This Row],[LT]]="H",MID(fTbl[[#This Row],[Hierarchy]],fTbl[[#This Row],[pipe1]]+1,fTbl[[#This Row],[pipe2]]-fTbl[[#This Row],[pipe1]]-1),LEFT(fTbl[[#This Row],[Hierarchy]],FIND("|",fTbl[[#This Row],[Hierarchy]])-1)),"")</f>
        <v>oOrderLines</v>
      </c>
      <c r="L43" s="1">
        <f ca="1">IF(ROW()=3,0,OFFSET(fTbl[[#This Row],[Lev]],-1,0)+IF(OFFSET(fTbl[[#This Row],[LT]],-1,0)="H",1,IF(fTbl[[#This Row],[LT]]="!H",-1,0)))</f>
        <v>2</v>
      </c>
      <c r="M43">
        <f>IF(RIGHT(fTbl[[#This Row],[valid]],4)&lt;&gt;"list",0,IFERROR(MATCH(fTbl[[#This Row],[Context]]&amp;"|"&amp;fTbl[[#This Row],[Field]],Ltbl[ind],0),IFERROR(MATCH("ALL|"&amp;fTbl[[#This Row],[Field]],Ltbl[ind],0),-1)))</f>
        <v>0</v>
      </c>
      <c r="N43" t="str" cm="1">
        <f t="array" ref="N43">IF(fTbl[[#This Row],[listlu]]&lt;1,"",IF(INDEX(Ltbl[Generic],fTbl[[#This Row],[listlu]])="","",INDEX(Ltbl[Generic],fTbl[[#This Row],[listlu]])))</f>
        <v/>
      </c>
      <c r="O43">
        <f>IF(AND(fTbl[[#This Row],[listlu]],ISERROR(FIND(",",fTbl[[#This Row],[liMatch]])),fTbl[[#This Row],[liMatch]]&lt;&gt;""),1,0)</f>
        <v>0</v>
      </c>
      <c r="P43">
        <f>IF(AND(fTbl[[#This Row],[LT]]="Ref",ISNA(MATCH(fTbl[[#This Row],[Field]],rTbl[Ref],0))),1,0)</f>
        <v>0</v>
      </c>
      <c r="Q43" t="str">
        <f ca="1">IF(ROW()=3,IF(fTbl[[#This Row],[LT]]="H",fTbl[[#This Row],[Field]]&amp;"|","|"),IF(fTbl[[#This Row],[LT]]="H",fTbl[[#This Row],[Field]]&amp;"|"&amp;OFFSET(fTbl[[#This Row],[Hierarchy]],-1,0),IF(fTbl[[#This Row],[LT]]&lt;&gt;"!H",OFFSET(fTbl[[#This Row],[Hierarchy]],-1,0),RIGHT(OFFSET(fTbl[[#This Row],[Hierarchy]],-1,0),LEN(OFFSET(fTbl[[#This Row],[Hierarchy]],-1,0))-LEN(fTbl[[#This Row],[Field]])-1))))</f>
        <v>oOrderLines|oOrders|</v>
      </c>
      <c r="R43">
        <f ca="1">FIND("~",SUBSTITUTE(fTbl[[#This Row],[Hierarchy]],"|","~",1))</f>
        <v>12</v>
      </c>
      <c r="S43">
        <f ca="1">FIND("~",SUBSTITUTE(fTbl[[#This Row],[Hierarchy]],"|","~",2))</f>
        <v>20</v>
      </c>
      <c r="T43" cm="1">
        <f t="array" ref="T43">IF(fTbl[[#This Row],[listlu]]=0,0,IF(INDEX(Ltbl[Context],fTbl[[#This Row],[listlu]],1)="ALL",1,2))</f>
        <v>0</v>
      </c>
      <c r="U43" s="29" t="s">
        <v>155</v>
      </c>
    </row>
    <row r="44" spans="1:21">
      <c r="A44" s="15" t="s">
        <v>28</v>
      </c>
      <c r="B44" t="s">
        <v>156</v>
      </c>
      <c r="C44" t="s">
        <v>30</v>
      </c>
      <c r="D44" s="1">
        <v>30</v>
      </c>
      <c r="E44" s="1">
        <v>0</v>
      </c>
      <c r="F44" s="1"/>
      <c r="G44" s="1"/>
      <c r="H44" s="1"/>
      <c r="I44" s="19" t="s">
        <v>157</v>
      </c>
      <c r="J44" s="28" t="s">
        <v>158</v>
      </c>
      <c r="K44" t="str">
        <f ca="1">IFERROR(IF(fTbl[[#This Row],[LT]]="H",MID(fTbl[[#This Row],[Hierarchy]],fTbl[[#This Row],[pipe1]]+1,fTbl[[#This Row],[pipe2]]-fTbl[[#This Row],[pipe1]]-1),LEFT(fTbl[[#This Row],[Hierarchy]],FIND("|",fTbl[[#This Row],[Hierarchy]])-1)),"")</f>
        <v>oOrderLines</v>
      </c>
      <c r="L44" s="1">
        <f ca="1">IF(ROW()=3,0,OFFSET(fTbl[[#This Row],[Lev]],-1,0)+IF(OFFSET(fTbl[[#This Row],[LT]],-1,0)="H",1,IF(fTbl[[#This Row],[LT]]="!H",-1,0)))</f>
        <v>2</v>
      </c>
      <c r="M44">
        <f>IF(RIGHT(fTbl[[#This Row],[valid]],4)&lt;&gt;"list",0,IFERROR(MATCH(fTbl[[#This Row],[Context]]&amp;"|"&amp;fTbl[[#This Row],[Field]],Ltbl[ind],0),IFERROR(MATCH("ALL|"&amp;fTbl[[#This Row],[Field]],Ltbl[ind],0),-1)))</f>
        <v>0</v>
      </c>
      <c r="N44" t="str" cm="1">
        <f t="array" ref="N44">IF(fTbl[[#This Row],[listlu]]&lt;1,"",IF(INDEX(Ltbl[Generic],fTbl[[#This Row],[listlu]])="","",INDEX(Ltbl[Generic],fTbl[[#This Row],[listlu]])))</f>
        <v/>
      </c>
      <c r="O44">
        <f>IF(AND(fTbl[[#This Row],[listlu]],ISERROR(FIND(",",fTbl[[#This Row],[liMatch]])),fTbl[[#This Row],[liMatch]]&lt;&gt;""),1,0)</f>
        <v>0</v>
      </c>
      <c r="P44">
        <f>IF(AND(fTbl[[#This Row],[LT]]="Ref",ISNA(MATCH(fTbl[[#This Row],[Field]],rTbl[Ref],0))),1,0)</f>
        <v>0</v>
      </c>
      <c r="Q44" t="str">
        <f ca="1">IF(ROW()=3,IF(fTbl[[#This Row],[LT]]="H",fTbl[[#This Row],[Field]]&amp;"|","|"),IF(fTbl[[#This Row],[LT]]="H",fTbl[[#This Row],[Field]]&amp;"|"&amp;OFFSET(fTbl[[#This Row],[Hierarchy]],-1,0),IF(fTbl[[#This Row],[LT]]&lt;&gt;"!H",OFFSET(fTbl[[#This Row],[Hierarchy]],-1,0),RIGHT(OFFSET(fTbl[[#This Row],[Hierarchy]],-1,0),LEN(OFFSET(fTbl[[#This Row],[Hierarchy]],-1,0))-LEN(fTbl[[#This Row],[Field]])-1))))</f>
        <v>oOrderLines|oOrders|</v>
      </c>
      <c r="R44">
        <f ca="1">FIND("~",SUBSTITUTE(fTbl[[#This Row],[Hierarchy]],"|","~",1))</f>
        <v>12</v>
      </c>
      <c r="S44">
        <f ca="1">FIND("~",SUBSTITUTE(fTbl[[#This Row],[Hierarchy]],"|","~",2))</f>
        <v>20</v>
      </c>
      <c r="T44" cm="1">
        <f t="array" ref="T44">IF(fTbl[[#This Row],[listlu]]=0,0,IF(INDEX(Ltbl[Context],fTbl[[#This Row],[listlu]],1)="ALL",1,2))</f>
        <v>0</v>
      </c>
      <c r="U44" s="29"/>
    </row>
    <row r="45" spans="1:21">
      <c r="A45" s="15" t="s">
        <v>28</v>
      </c>
      <c r="B45" t="s">
        <v>159</v>
      </c>
      <c r="C45" t="s">
        <v>30</v>
      </c>
      <c r="D45" s="1">
        <v>5</v>
      </c>
      <c r="E45" s="1">
        <v>1</v>
      </c>
      <c r="F45" s="1"/>
      <c r="G45" s="1"/>
      <c r="H45" s="1" t="s">
        <v>56</v>
      </c>
      <c r="I45" s="19" t="s">
        <v>160</v>
      </c>
      <c r="J45" s="28" t="s">
        <v>161</v>
      </c>
      <c r="K45" t="str">
        <f ca="1">IFERROR(IF(fTbl[[#This Row],[LT]]="H",MID(fTbl[[#This Row],[Hierarchy]],fTbl[[#This Row],[pipe1]]+1,fTbl[[#This Row],[pipe2]]-fTbl[[#This Row],[pipe1]]-1),LEFT(fTbl[[#This Row],[Hierarchy]],FIND("|",fTbl[[#This Row],[Hierarchy]])-1)),"")</f>
        <v>oOrderLines</v>
      </c>
      <c r="L45" s="1">
        <f ca="1">IF(ROW()=3,0,OFFSET(fTbl[[#This Row],[Lev]],-1,0)+IF(OFFSET(fTbl[[#This Row],[LT]],-1,0)="H",1,IF(fTbl[[#This Row],[LT]]="!H",-1,0)))</f>
        <v>2</v>
      </c>
      <c r="M45">
        <f ca="1">IF(RIGHT(fTbl[[#This Row],[valid]],4)&lt;&gt;"list",0,IFERROR(MATCH(fTbl[[#This Row],[Context]]&amp;"|"&amp;fTbl[[#This Row],[Field]],Ltbl[ind],0),IFERROR(MATCH("ALL|"&amp;fTbl[[#This Row],[Field]],Ltbl[ind],0),-1)))</f>
        <v>11</v>
      </c>
      <c r="N45" t="str" cm="1">
        <f t="array" aca="1" ref="N45" ca="1">IF(fTbl[[#This Row],[listlu]]&lt;1,"",IF(INDEX(Ltbl[Generic],fTbl[[#This Row],[listlu]])="","",INDEX(Ltbl[Generic],fTbl[[#This Row],[listlu]])))</f>
        <v>EACH,INNER,OUTER</v>
      </c>
      <c r="O45">
        <f ca="1">IF(AND(fTbl[[#This Row],[listlu]],ISERROR(FIND(",",fTbl[[#This Row],[liMatch]])),fTbl[[#This Row],[liMatch]]&lt;&gt;""),1,0)</f>
        <v>0</v>
      </c>
      <c r="P45">
        <f>IF(AND(fTbl[[#This Row],[LT]]="Ref",ISNA(MATCH(fTbl[[#This Row],[Field]],rTbl[Ref],0))),1,0)</f>
        <v>0</v>
      </c>
      <c r="Q45" t="str">
        <f ca="1">IF(ROW()=3,IF(fTbl[[#This Row],[LT]]="H",fTbl[[#This Row],[Field]]&amp;"|","|"),IF(fTbl[[#This Row],[LT]]="H",fTbl[[#This Row],[Field]]&amp;"|"&amp;OFFSET(fTbl[[#This Row],[Hierarchy]],-1,0),IF(fTbl[[#This Row],[LT]]&lt;&gt;"!H",OFFSET(fTbl[[#This Row],[Hierarchy]],-1,0),RIGHT(OFFSET(fTbl[[#This Row],[Hierarchy]],-1,0),LEN(OFFSET(fTbl[[#This Row],[Hierarchy]],-1,0))-LEN(fTbl[[#This Row],[Field]])-1))))</f>
        <v>oOrderLines|oOrders|</v>
      </c>
      <c r="R45">
        <f ca="1">FIND("~",SUBSTITUTE(fTbl[[#This Row],[Hierarchy]],"|","~",1))</f>
        <v>12</v>
      </c>
      <c r="S45">
        <f ca="1">FIND("~",SUBSTITUTE(fTbl[[#This Row],[Hierarchy]],"|","~",2))</f>
        <v>20</v>
      </c>
      <c r="T45" cm="1">
        <f t="array" aca="1" ref="T45" ca="1">IF(fTbl[[#This Row],[listlu]]=0,0,IF(INDEX(Ltbl[Context],fTbl[[#This Row],[listlu]],1)="ALL",1,2))</f>
        <v>1</v>
      </c>
      <c r="U45" s="29" t="s">
        <v>162</v>
      </c>
    </row>
    <row r="46" spans="1:21">
      <c r="A46" s="15" t="s">
        <v>28</v>
      </c>
      <c r="B46" t="s">
        <v>163</v>
      </c>
      <c r="C46" t="s">
        <v>84</v>
      </c>
      <c r="D46" s="1"/>
      <c r="E46" s="1">
        <v>1</v>
      </c>
      <c r="F46" s="1"/>
      <c r="G46" s="1"/>
      <c r="H46" s="1"/>
      <c r="I46" s="19" t="s">
        <v>164</v>
      </c>
      <c r="J46" s="28">
        <v>12</v>
      </c>
      <c r="K46" t="str">
        <f ca="1">IFERROR(IF(fTbl[[#This Row],[LT]]="H",MID(fTbl[[#This Row],[Hierarchy]],fTbl[[#This Row],[pipe1]]+1,fTbl[[#This Row],[pipe2]]-fTbl[[#This Row],[pipe1]]-1),LEFT(fTbl[[#This Row],[Hierarchy]],FIND("|",fTbl[[#This Row],[Hierarchy]])-1)),"")</f>
        <v>oOrderLines</v>
      </c>
      <c r="L46" s="1">
        <f ca="1">IF(ROW()=3,0,OFFSET(fTbl[[#This Row],[Lev]],-1,0)+IF(OFFSET(fTbl[[#This Row],[LT]],-1,0)="H",1,IF(fTbl[[#This Row],[LT]]="!H",-1,0)))</f>
        <v>2</v>
      </c>
      <c r="M46">
        <f>IF(RIGHT(fTbl[[#This Row],[valid]],4)&lt;&gt;"list",0,IFERROR(MATCH(fTbl[[#This Row],[Context]]&amp;"|"&amp;fTbl[[#This Row],[Field]],Ltbl[ind],0),IFERROR(MATCH("ALL|"&amp;fTbl[[#This Row],[Field]],Ltbl[ind],0),-1)))</f>
        <v>0</v>
      </c>
      <c r="N46" t="str" cm="1">
        <f t="array" ref="N46">IF(fTbl[[#This Row],[listlu]]&lt;1,"",IF(INDEX(Ltbl[Generic],fTbl[[#This Row],[listlu]])="","",INDEX(Ltbl[Generic],fTbl[[#This Row],[listlu]])))</f>
        <v/>
      </c>
      <c r="O46">
        <f>IF(AND(fTbl[[#This Row],[listlu]],ISERROR(FIND(",",fTbl[[#This Row],[liMatch]])),fTbl[[#This Row],[liMatch]]&lt;&gt;""),1,0)</f>
        <v>0</v>
      </c>
      <c r="P46">
        <f>IF(AND(fTbl[[#This Row],[LT]]="Ref",ISNA(MATCH(fTbl[[#This Row],[Field]],rTbl[Ref],0))),1,0)</f>
        <v>0</v>
      </c>
      <c r="Q46" t="str">
        <f ca="1">IF(ROW()=3,IF(fTbl[[#This Row],[LT]]="H",fTbl[[#This Row],[Field]]&amp;"|","|"),IF(fTbl[[#This Row],[LT]]="H",fTbl[[#This Row],[Field]]&amp;"|"&amp;OFFSET(fTbl[[#This Row],[Hierarchy]],-1,0),IF(fTbl[[#This Row],[LT]]&lt;&gt;"!H",OFFSET(fTbl[[#This Row],[Hierarchy]],-1,0),RIGHT(OFFSET(fTbl[[#This Row],[Hierarchy]],-1,0),LEN(OFFSET(fTbl[[#This Row],[Hierarchy]],-1,0))-LEN(fTbl[[#This Row],[Field]])-1))))</f>
        <v>oOrderLines|oOrders|</v>
      </c>
      <c r="R46">
        <f ca="1">FIND("~",SUBSTITUTE(fTbl[[#This Row],[Hierarchy]],"|","~",1))</f>
        <v>12</v>
      </c>
      <c r="S46">
        <f ca="1">FIND("~",SUBSTITUTE(fTbl[[#This Row],[Hierarchy]],"|","~",2))</f>
        <v>20</v>
      </c>
      <c r="T46" cm="1">
        <f t="array" ref="T46">IF(fTbl[[#This Row],[listlu]]=0,0,IF(INDEX(Ltbl[Context],fTbl[[#This Row],[listlu]],1)="ALL",1,2))</f>
        <v>0</v>
      </c>
      <c r="U46" s="29" t="s">
        <v>165</v>
      </c>
    </row>
    <row r="47" spans="1:21">
      <c r="A47" s="15" t="s">
        <v>28</v>
      </c>
      <c r="B47" t="s">
        <v>166</v>
      </c>
      <c r="C47" t="s">
        <v>133</v>
      </c>
      <c r="D47" s="1"/>
      <c r="E47" s="1">
        <v>1</v>
      </c>
      <c r="F47" s="1"/>
      <c r="G47" s="1"/>
      <c r="H47" s="1"/>
      <c r="I47" s="19" t="s">
        <v>167</v>
      </c>
      <c r="J47" s="28">
        <v>34.549999999999997</v>
      </c>
      <c r="K47" t="str">
        <f ca="1">IFERROR(IF(fTbl[[#This Row],[LT]]="H",MID(fTbl[[#This Row],[Hierarchy]],fTbl[[#This Row],[pipe1]]+1,fTbl[[#This Row],[pipe2]]-fTbl[[#This Row],[pipe1]]-1),LEFT(fTbl[[#This Row],[Hierarchy]],FIND("|",fTbl[[#This Row],[Hierarchy]])-1)),"")</f>
        <v>oOrderLines</v>
      </c>
      <c r="L47" s="1">
        <f ca="1">IF(ROW()=3,0,OFFSET(fTbl[[#This Row],[Lev]],-1,0)+IF(OFFSET(fTbl[[#This Row],[LT]],-1,0)="H",1,IF(fTbl[[#This Row],[LT]]="!H",-1,0)))</f>
        <v>2</v>
      </c>
      <c r="M47">
        <f>IF(RIGHT(fTbl[[#This Row],[valid]],4)&lt;&gt;"list",0,IFERROR(MATCH(fTbl[[#This Row],[Context]]&amp;"|"&amp;fTbl[[#This Row],[Field]],Ltbl[ind],0),IFERROR(MATCH("ALL|"&amp;fTbl[[#This Row],[Field]],Ltbl[ind],0),-1)))</f>
        <v>0</v>
      </c>
      <c r="N47" t="str" cm="1">
        <f t="array" ref="N47">IF(fTbl[[#This Row],[listlu]]&lt;1,"",IF(INDEX(Ltbl[Generic],fTbl[[#This Row],[listlu]])="","",INDEX(Ltbl[Generic],fTbl[[#This Row],[listlu]])))</f>
        <v/>
      </c>
      <c r="O47">
        <f>IF(AND(fTbl[[#This Row],[listlu]],ISERROR(FIND(",",fTbl[[#This Row],[liMatch]])),fTbl[[#This Row],[liMatch]]&lt;&gt;""),1,0)</f>
        <v>0</v>
      </c>
      <c r="P47">
        <f>IF(AND(fTbl[[#This Row],[LT]]="Ref",ISNA(MATCH(fTbl[[#This Row],[Field]],rTbl[Ref],0))),1,0)</f>
        <v>0</v>
      </c>
      <c r="Q47" t="str">
        <f ca="1">IF(ROW()=3,IF(fTbl[[#This Row],[LT]]="H",fTbl[[#This Row],[Field]]&amp;"|","|"),IF(fTbl[[#This Row],[LT]]="H",fTbl[[#This Row],[Field]]&amp;"|"&amp;OFFSET(fTbl[[#This Row],[Hierarchy]],-1,0),IF(fTbl[[#This Row],[LT]]&lt;&gt;"!H",OFFSET(fTbl[[#This Row],[Hierarchy]],-1,0),RIGHT(OFFSET(fTbl[[#This Row],[Hierarchy]],-1,0),LEN(OFFSET(fTbl[[#This Row],[Hierarchy]],-1,0))-LEN(fTbl[[#This Row],[Field]])-1))))</f>
        <v>oOrderLines|oOrders|</v>
      </c>
      <c r="R47">
        <f ca="1">FIND("~",SUBSTITUTE(fTbl[[#This Row],[Hierarchy]],"|","~",1))</f>
        <v>12</v>
      </c>
      <c r="S47">
        <f ca="1">FIND("~",SUBSTITUTE(fTbl[[#This Row],[Hierarchy]],"|","~",2))</f>
        <v>20</v>
      </c>
      <c r="T47" cm="1">
        <f t="array" ref="T47">IF(fTbl[[#This Row],[listlu]]=0,0,IF(INDEX(Ltbl[Context],fTbl[[#This Row],[listlu]],1)="ALL",1,2))</f>
        <v>0</v>
      </c>
      <c r="U47" s="29" t="s">
        <v>168</v>
      </c>
    </row>
    <row r="48" spans="1:21">
      <c r="A48" s="15" t="s">
        <v>28</v>
      </c>
      <c r="B48" t="s">
        <v>169</v>
      </c>
      <c r="C48" t="s">
        <v>133</v>
      </c>
      <c r="D48" s="1"/>
      <c r="E48" s="1">
        <v>0</v>
      </c>
      <c r="F48" s="1"/>
      <c r="G48" s="1"/>
      <c r="H48" s="1"/>
      <c r="I48" s="19" t="s">
        <v>170</v>
      </c>
      <c r="J48" s="28">
        <v>2.44</v>
      </c>
      <c r="K48" t="str">
        <f ca="1">IFERROR(IF(fTbl[[#This Row],[LT]]="H",MID(fTbl[[#This Row],[Hierarchy]],fTbl[[#This Row],[pipe1]]+1,fTbl[[#This Row],[pipe2]]-fTbl[[#This Row],[pipe1]]-1),LEFT(fTbl[[#This Row],[Hierarchy]],FIND("|",fTbl[[#This Row],[Hierarchy]])-1)),"")</f>
        <v>oOrderLines</v>
      </c>
      <c r="L48" s="1">
        <f ca="1">IF(ROW()=3,0,OFFSET(fTbl[[#This Row],[Lev]],-1,0)+IF(OFFSET(fTbl[[#This Row],[LT]],-1,0)="H",1,IF(fTbl[[#This Row],[LT]]="!H",-1,0)))</f>
        <v>2</v>
      </c>
      <c r="M48">
        <f>IF(RIGHT(fTbl[[#This Row],[valid]],4)&lt;&gt;"list",0,IFERROR(MATCH(fTbl[[#This Row],[Context]]&amp;"|"&amp;fTbl[[#This Row],[Field]],Ltbl[ind],0),IFERROR(MATCH("ALL|"&amp;fTbl[[#This Row],[Field]],Ltbl[ind],0),-1)))</f>
        <v>0</v>
      </c>
      <c r="N48" t="str" cm="1">
        <f t="array" ref="N48">IF(fTbl[[#This Row],[listlu]]&lt;1,"",IF(INDEX(Ltbl[Generic],fTbl[[#This Row],[listlu]])="","",INDEX(Ltbl[Generic],fTbl[[#This Row],[listlu]])))</f>
        <v/>
      </c>
      <c r="O48">
        <f>IF(AND(fTbl[[#This Row],[listlu]],ISERROR(FIND(",",fTbl[[#This Row],[liMatch]])),fTbl[[#This Row],[liMatch]]&lt;&gt;""),1,0)</f>
        <v>0</v>
      </c>
      <c r="P48">
        <f>IF(AND(fTbl[[#This Row],[LT]]="Ref",ISNA(MATCH(fTbl[[#This Row],[Field]],rTbl[Ref],0))),1,0)</f>
        <v>0</v>
      </c>
      <c r="Q48" t="str">
        <f ca="1">IF(ROW()=3,IF(fTbl[[#This Row],[LT]]="H",fTbl[[#This Row],[Field]]&amp;"|","|"),IF(fTbl[[#This Row],[LT]]="H",fTbl[[#This Row],[Field]]&amp;"|"&amp;OFFSET(fTbl[[#This Row],[Hierarchy]],-1,0),IF(fTbl[[#This Row],[LT]]&lt;&gt;"!H",OFFSET(fTbl[[#This Row],[Hierarchy]],-1,0),RIGHT(OFFSET(fTbl[[#This Row],[Hierarchy]],-1,0),LEN(OFFSET(fTbl[[#This Row],[Hierarchy]],-1,0))-LEN(fTbl[[#This Row],[Field]])-1))))</f>
        <v>oOrderLines|oOrders|</v>
      </c>
      <c r="R48">
        <f ca="1">FIND("~",SUBSTITUTE(fTbl[[#This Row],[Hierarchy]],"|","~",1))</f>
        <v>12</v>
      </c>
      <c r="S48">
        <f ca="1">FIND("~",SUBSTITUTE(fTbl[[#This Row],[Hierarchy]],"|","~",2))</f>
        <v>20</v>
      </c>
      <c r="T48" cm="1">
        <f t="array" ref="T48">IF(fTbl[[#This Row],[listlu]]=0,0,IF(INDEX(Ltbl[Context],fTbl[[#This Row],[listlu]],1)="ALL",1,2))</f>
        <v>0</v>
      </c>
      <c r="U48" s="29"/>
    </row>
    <row r="49" spans="1:21">
      <c r="A49" s="15" t="s">
        <v>28</v>
      </c>
      <c r="B49" t="s">
        <v>171</v>
      </c>
      <c r="C49" t="s">
        <v>133</v>
      </c>
      <c r="D49" s="1"/>
      <c r="E49" s="1">
        <v>1</v>
      </c>
      <c r="F49" s="1"/>
      <c r="G49" s="1"/>
      <c r="H49" s="1"/>
      <c r="I49" s="19" t="s">
        <v>172</v>
      </c>
      <c r="J49" s="28">
        <v>414.6</v>
      </c>
      <c r="K49" t="str">
        <f ca="1">IFERROR(IF(fTbl[[#This Row],[LT]]="H",MID(fTbl[[#This Row],[Hierarchy]],fTbl[[#This Row],[pipe1]]+1,fTbl[[#This Row],[pipe2]]-fTbl[[#This Row],[pipe1]]-1),LEFT(fTbl[[#This Row],[Hierarchy]],FIND("|",fTbl[[#This Row],[Hierarchy]])-1)),"")</f>
        <v>oOrderLines</v>
      </c>
      <c r="L49" s="1">
        <f ca="1">IF(ROW()=3,0,OFFSET(fTbl[[#This Row],[Lev]],-1,0)+IF(OFFSET(fTbl[[#This Row],[LT]],-1,0)="H",1,IF(fTbl[[#This Row],[LT]]="!H",-1,0)))</f>
        <v>2</v>
      </c>
      <c r="M49">
        <f>IF(RIGHT(fTbl[[#This Row],[valid]],4)&lt;&gt;"list",0,IFERROR(MATCH(fTbl[[#This Row],[Context]]&amp;"|"&amp;fTbl[[#This Row],[Field]],Ltbl[ind],0),IFERROR(MATCH("ALL|"&amp;fTbl[[#This Row],[Field]],Ltbl[ind],0),-1)))</f>
        <v>0</v>
      </c>
      <c r="N49" t="str" cm="1">
        <f t="array" ref="N49">IF(fTbl[[#This Row],[listlu]]&lt;1,"",IF(INDEX(Ltbl[Generic],fTbl[[#This Row],[listlu]])="","",INDEX(Ltbl[Generic],fTbl[[#This Row],[listlu]])))</f>
        <v/>
      </c>
      <c r="O49">
        <f>IF(AND(fTbl[[#This Row],[listlu]],ISERROR(FIND(",",fTbl[[#This Row],[liMatch]])),fTbl[[#This Row],[liMatch]]&lt;&gt;""),1,0)</f>
        <v>0</v>
      </c>
      <c r="P49">
        <f>IF(AND(fTbl[[#This Row],[LT]]="Ref",ISNA(MATCH(fTbl[[#This Row],[Field]],rTbl[Ref],0))),1,0)</f>
        <v>0</v>
      </c>
      <c r="Q49" t="str">
        <f ca="1">IF(ROW()=3,IF(fTbl[[#This Row],[LT]]="H",fTbl[[#This Row],[Field]]&amp;"|","|"),IF(fTbl[[#This Row],[LT]]="H",fTbl[[#This Row],[Field]]&amp;"|"&amp;OFFSET(fTbl[[#This Row],[Hierarchy]],-1,0),IF(fTbl[[#This Row],[LT]]&lt;&gt;"!H",OFFSET(fTbl[[#This Row],[Hierarchy]],-1,0),RIGHT(OFFSET(fTbl[[#This Row],[Hierarchy]],-1,0),LEN(OFFSET(fTbl[[#This Row],[Hierarchy]],-1,0))-LEN(fTbl[[#This Row],[Field]])-1))))</f>
        <v>oOrderLines|oOrders|</v>
      </c>
      <c r="R49">
        <f ca="1">FIND("~",SUBSTITUTE(fTbl[[#This Row],[Hierarchy]],"|","~",1))</f>
        <v>12</v>
      </c>
      <c r="S49">
        <f ca="1">FIND("~",SUBSTITUTE(fTbl[[#This Row],[Hierarchy]],"|","~",2))</f>
        <v>20</v>
      </c>
      <c r="T49" cm="1">
        <f t="array" ref="T49">IF(fTbl[[#This Row],[listlu]]=0,0,IF(INDEX(Ltbl[Context],fTbl[[#This Row],[listlu]],1)="ALL",1,2))</f>
        <v>0</v>
      </c>
      <c r="U49" s="29" t="s">
        <v>173</v>
      </c>
    </row>
    <row r="50" spans="1:21">
      <c r="A50" s="15" t="s">
        <v>28</v>
      </c>
      <c r="B50" t="s">
        <v>174</v>
      </c>
      <c r="C50" t="s">
        <v>133</v>
      </c>
      <c r="D50" s="1"/>
      <c r="E50" s="1">
        <v>0</v>
      </c>
      <c r="F50" s="1"/>
      <c r="G50" s="1"/>
      <c r="H50" s="1"/>
      <c r="I50" s="19" t="s">
        <v>175</v>
      </c>
      <c r="J50" s="28">
        <v>29.28</v>
      </c>
      <c r="K50" t="str">
        <f ca="1">IFERROR(IF(fTbl[[#This Row],[LT]]="H",MID(fTbl[[#This Row],[Hierarchy]],fTbl[[#This Row],[pipe1]]+1,fTbl[[#This Row],[pipe2]]-fTbl[[#This Row],[pipe1]]-1),LEFT(fTbl[[#This Row],[Hierarchy]],FIND("|",fTbl[[#This Row],[Hierarchy]])-1)),"")</f>
        <v>oOrderLines</v>
      </c>
      <c r="L50" s="1">
        <f ca="1">IF(ROW()=3,0,OFFSET(fTbl[[#This Row],[Lev]],-1,0)+IF(OFFSET(fTbl[[#This Row],[LT]],-1,0)="H",1,IF(fTbl[[#This Row],[LT]]="!H",-1,0)))</f>
        <v>2</v>
      </c>
      <c r="M50">
        <f>IF(RIGHT(fTbl[[#This Row],[valid]],4)&lt;&gt;"list",0,IFERROR(MATCH(fTbl[[#This Row],[Context]]&amp;"|"&amp;fTbl[[#This Row],[Field]],Ltbl[ind],0),IFERROR(MATCH("ALL|"&amp;fTbl[[#This Row],[Field]],Ltbl[ind],0),-1)))</f>
        <v>0</v>
      </c>
      <c r="N50" t="str" cm="1">
        <f t="array" ref="N50">IF(fTbl[[#This Row],[listlu]]&lt;1,"",IF(INDEX(Ltbl[Generic],fTbl[[#This Row],[listlu]])="","",INDEX(Ltbl[Generic],fTbl[[#This Row],[listlu]])))</f>
        <v/>
      </c>
      <c r="O50">
        <f>IF(AND(fTbl[[#This Row],[listlu]],ISERROR(FIND(",",fTbl[[#This Row],[liMatch]])),fTbl[[#This Row],[liMatch]]&lt;&gt;""),1,0)</f>
        <v>0</v>
      </c>
      <c r="P50">
        <f>IF(AND(fTbl[[#This Row],[LT]]="Ref",ISNA(MATCH(fTbl[[#This Row],[Field]],rTbl[Ref],0))),1,0)</f>
        <v>0</v>
      </c>
      <c r="Q50" t="str">
        <f ca="1">IF(ROW()=3,IF(fTbl[[#This Row],[LT]]="H",fTbl[[#This Row],[Field]]&amp;"|","|"),IF(fTbl[[#This Row],[LT]]="H",fTbl[[#This Row],[Field]]&amp;"|"&amp;OFFSET(fTbl[[#This Row],[Hierarchy]],-1,0),IF(fTbl[[#This Row],[LT]]&lt;&gt;"!H",OFFSET(fTbl[[#This Row],[Hierarchy]],-1,0),RIGHT(OFFSET(fTbl[[#This Row],[Hierarchy]],-1,0),LEN(OFFSET(fTbl[[#This Row],[Hierarchy]],-1,0))-LEN(fTbl[[#This Row],[Field]])-1))))</f>
        <v>oOrderLines|oOrders|</v>
      </c>
      <c r="R50">
        <f ca="1">FIND("~",SUBSTITUTE(fTbl[[#This Row],[Hierarchy]],"|","~",1))</f>
        <v>12</v>
      </c>
      <c r="S50">
        <f ca="1">FIND("~",SUBSTITUTE(fTbl[[#This Row],[Hierarchy]],"|","~",2))</f>
        <v>20</v>
      </c>
      <c r="T50" cm="1">
        <f t="array" ref="T50">IF(fTbl[[#This Row],[listlu]]=0,0,IF(INDEX(Ltbl[Context],fTbl[[#This Row],[listlu]],1)="ALL",1,2))</f>
        <v>0</v>
      </c>
      <c r="U50" s="29"/>
    </row>
    <row r="51" spans="1:21">
      <c r="A51" s="15" t="s">
        <v>123</v>
      </c>
      <c r="B51" t="s">
        <v>142</v>
      </c>
      <c r="D51" s="1"/>
      <c r="E51" s="1">
        <v>0</v>
      </c>
      <c r="F51" s="1" t="s">
        <v>23</v>
      </c>
      <c r="G51" s="1"/>
      <c r="H51" s="1"/>
      <c r="I51" s="19" t="s">
        <v>176</v>
      </c>
      <c r="J51" s="28"/>
      <c r="K51" t="str">
        <f ca="1">IFERROR(IF(fTbl[[#This Row],[LT]]="H",MID(fTbl[[#This Row],[Hierarchy]],fTbl[[#This Row],[pipe1]]+1,fTbl[[#This Row],[pipe2]]-fTbl[[#This Row],[pipe1]]-1),LEFT(fTbl[[#This Row],[Hierarchy]],FIND("|",fTbl[[#This Row],[Hierarchy]])-1)),"")</f>
        <v>oOrderLines</v>
      </c>
      <c r="L51" s="1">
        <f ca="1">IF(ROW()=3,0,OFFSET(fTbl[[#This Row],[Lev]],-1,0)+IF(OFFSET(fTbl[[#This Row],[LT]],-1,0)="H",1,IF(fTbl[[#This Row],[LT]]="!H",-1,0)))</f>
        <v>2</v>
      </c>
      <c r="M51">
        <f>IF(RIGHT(fTbl[[#This Row],[valid]],4)&lt;&gt;"list",0,IFERROR(MATCH(fTbl[[#This Row],[Context]]&amp;"|"&amp;fTbl[[#This Row],[Field]],Ltbl[ind],0),IFERROR(MATCH("ALL|"&amp;fTbl[[#This Row],[Field]],Ltbl[ind],0),-1)))</f>
        <v>0</v>
      </c>
      <c r="N51" t="str" cm="1">
        <f t="array" ref="N51">IF(fTbl[[#This Row],[listlu]]&lt;1,"",IF(INDEX(Ltbl[Generic],fTbl[[#This Row],[listlu]])="","",INDEX(Ltbl[Generic],fTbl[[#This Row],[listlu]])))</f>
        <v/>
      </c>
      <c r="O51">
        <f>IF(AND(fTbl[[#This Row],[listlu]],ISERROR(FIND(",",fTbl[[#This Row],[liMatch]])),fTbl[[#This Row],[liMatch]]&lt;&gt;""),1,0)</f>
        <v>0</v>
      </c>
      <c r="P51">
        <f>IF(AND(fTbl[[#This Row],[LT]]="Ref",ISNA(MATCH(fTbl[[#This Row],[Field]],rTbl[Ref],0))),1,0)</f>
        <v>0</v>
      </c>
      <c r="Q51" t="str">
        <f ca="1">IF(ROW()=3,IF(fTbl[[#This Row],[LT]]="H",fTbl[[#This Row],[Field]]&amp;"|","|"),IF(fTbl[[#This Row],[LT]]="H",fTbl[[#This Row],[Field]]&amp;"|"&amp;OFFSET(fTbl[[#This Row],[Hierarchy]],-1,0),IF(fTbl[[#This Row],[LT]]&lt;&gt;"!H",OFFSET(fTbl[[#This Row],[Hierarchy]],-1,0),RIGHT(OFFSET(fTbl[[#This Row],[Hierarchy]],-1,0),LEN(OFFSET(fTbl[[#This Row],[Hierarchy]],-1,0))-LEN(fTbl[[#This Row],[Field]])-1))))</f>
        <v>oOrderLines|oOrders|</v>
      </c>
      <c r="R51">
        <f ca="1">FIND("~",SUBSTITUTE(fTbl[[#This Row],[Hierarchy]],"|","~",1))</f>
        <v>12</v>
      </c>
      <c r="S51">
        <f ca="1">FIND("~",SUBSTITUTE(fTbl[[#This Row],[Hierarchy]],"|","~",2))</f>
        <v>20</v>
      </c>
      <c r="T51" cm="1">
        <f t="array" ref="T51">IF(fTbl[[#This Row],[listlu]]=0,0,IF(INDEX(Ltbl[Context],fTbl[[#This Row],[listlu]],1)="ALL",1,2))</f>
        <v>0</v>
      </c>
      <c r="U51" s="29"/>
    </row>
    <row r="52" spans="1:21">
      <c r="A52" s="15" t="s">
        <v>177</v>
      </c>
      <c r="B52" t="s">
        <v>144</v>
      </c>
      <c r="D52" s="1"/>
      <c r="E52" s="1"/>
      <c r="F52" s="1"/>
      <c r="G52" s="1"/>
      <c r="H52" s="1"/>
      <c r="I52" s="19"/>
      <c r="J52" s="28"/>
      <c r="K52" t="str">
        <f ca="1">IFERROR(IF(fTbl[[#This Row],[LT]]="H",MID(fTbl[[#This Row],[Hierarchy]],fTbl[[#This Row],[pipe1]]+1,fTbl[[#This Row],[pipe2]]-fTbl[[#This Row],[pipe1]]-1),LEFT(fTbl[[#This Row],[Hierarchy]],FIND("|",fTbl[[#This Row],[Hierarchy]])-1)),"")</f>
        <v>oOrders</v>
      </c>
      <c r="L52" s="1">
        <f ca="1">IF(ROW()=3,0,OFFSET(fTbl[[#This Row],[Lev]],-1,0)+IF(OFFSET(fTbl[[#This Row],[LT]],-1,0)="H",1,IF(fTbl[[#This Row],[LT]]="!H",-1,0)))</f>
        <v>1</v>
      </c>
      <c r="M52">
        <f>IF(RIGHT(fTbl[[#This Row],[valid]],4)&lt;&gt;"list",0,IFERROR(MATCH(fTbl[[#This Row],[Context]]&amp;"|"&amp;fTbl[[#This Row],[Field]],Ltbl[ind],0),IFERROR(MATCH("ALL|"&amp;fTbl[[#This Row],[Field]],Ltbl[ind],0),-1)))</f>
        <v>0</v>
      </c>
      <c r="N52" t="str" cm="1">
        <f t="array" ref="N52">IF(fTbl[[#This Row],[listlu]]&lt;1,"",IF(INDEX(Ltbl[Generic],fTbl[[#This Row],[listlu]])="","",INDEX(Ltbl[Generic],fTbl[[#This Row],[listlu]])))</f>
        <v/>
      </c>
      <c r="O52">
        <f>IF(AND(fTbl[[#This Row],[listlu]],ISERROR(FIND(",",fTbl[[#This Row],[liMatch]])),fTbl[[#This Row],[liMatch]]&lt;&gt;""),1,0)</f>
        <v>0</v>
      </c>
      <c r="P52">
        <f>IF(AND(fTbl[[#This Row],[LT]]="Ref",ISNA(MATCH(fTbl[[#This Row],[Field]],rTbl[Ref],0))),1,0)</f>
        <v>0</v>
      </c>
      <c r="Q52" t="str">
        <f ca="1">IF(ROW()=3,IF(fTbl[[#This Row],[LT]]="H",fTbl[[#This Row],[Field]]&amp;"|","|"),IF(fTbl[[#This Row],[LT]]="H",fTbl[[#This Row],[Field]]&amp;"|"&amp;OFFSET(fTbl[[#This Row],[Hierarchy]],-1,0),IF(fTbl[[#This Row],[LT]]&lt;&gt;"!H",OFFSET(fTbl[[#This Row],[Hierarchy]],-1,0),RIGHT(OFFSET(fTbl[[#This Row],[Hierarchy]],-1,0),LEN(OFFSET(fTbl[[#This Row],[Hierarchy]],-1,0))-LEN(fTbl[[#This Row],[Field]])-1))))</f>
        <v>oOrders|</v>
      </c>
      <c r="R52">
        <f ca="1">FIND("~",SUBSTITUTE(fTbl[[#This Row],[Hierarchy]],"|","~",1))</f>
        <v>8</v>
      </c>
      <c r="S52" t="e">
        <f ca="1">FIND("~",SUBSTITUTE(fTbl[[#This Row],[Hierarchy]],"|","~",2))</f>
        <v>#VALUE!</v>
      </c>
      <c r="T52" cm="1">
        <f t="array" ref="T52">IF(fTbl[[#This Row],[listlu]]=0,0,IF(INDEX(Ltbl[Context],fTbl[[#This Row],[listlu]],1)="ALL",1,2))</f>
        <v>0</v>
      </c>
      <c r="U52" s="29"/>
    </row>
    <row r="53" spans="1:21">
      <c r="A53" s="15" t="s">
        <v>177</v>
      </c>
      <c r="B53" t="s">
        <v>22</v>
      </c>
      <c r="D53" s="1"/>
      <c r="E53" s="1"/>
      <c r="F53" s="1"/>
      <c r="G53" s="1"/>
      <c r="H53" s="1"/>
      <c r="I53" s="19"/>
      <c r="J53" s="28"/>
      <c r="K53" t="str">
        <f ca="1">IFERROR(IF(fTbl[[#This Row],[LT]]="H",MID(fTbl[[#This Row],[Hierarchy]],fTbl[[#This Row],[pipe1]]+1,fTbl[[#This Row],[pipe2]]-fTbl[[#This Row],[pipe1]]-1),LEFT(fTbl[[#This Row],[Hierarchy]],FIND("|",fTbl[[#This Row],[Hierarchy]])-1)),"")</f>
        <v/>
      </c>
      <c r="L53" s="1">
        <f ca="1">IF(ROW()=3,0,OFFSET(fTbl[[#This Row],[Lev]],-1,0)+IF(OFFSET(fTbl[[#This Row],[LT]],-1,0)="H",1,IF(fTbl[[#This Row],[LT]]="!H",-1,0)))</f>
        <v>0</v>
      </c>
      <c r="M53">
        <f>IF(RIGHT(fTbl[[#This Row],[valid]],4)&lt;&gt;"list",0,IFERROR(MATCH(fTbl[[#This Row],[Context]]&amp;"|"&amp;fTbl[[#This Row],[Field]],Ltbl[ind],0),IFERROR(MATCH("ALL|"&amp;fTbl[[#This Row],[Field]],Ltbl[ind],0),-1)))</f>
        <v>0</v>
      </c>
      <c r="N53" t="str" cm="1">
        <f t="array" ref="N53">IF(fTbl[[#This Row],[listlu]]&lt;1,"",IF(INDEX(Ltbl[Generic],fTbl[[#This Row],[listlu]])="","",INDEX(Ltbl[Generic],fTbl[[#This Row],[listlu]])))</f>
        <v/>
      </c>
      <c r="O53">
        <f>IF(AND(fTbl[[#This Row],[listlu]],ISERROR(FIND(",",fTbl[[#This Row],[liMatch]])),fTbl[[#This Row],[liMatch]]&lt;&gt;""),1,0)</f>
        <v>0</v>
      </c>
      <c r="P53">
        <f>IF(AND(fTbl[[#This Row],[LT]]="Ref",ISNA(MATCH(fTbl[[#This Row],[Field]],rTbl[Ref],0))),1,0)</f>
        <v>0</v>
      </c>
      <c r="Q53" t="str">
        <f ca="1">IF(ROW()=3,IF(fTbl[[#This Row],[LT]]="H",fTbl[[#This Row],[Field]]&amp;"|","|"),IF(fTbl[[#This Row],[LT]]="H",fTbl[[#This Row],[Field]]&amp;"|"&amp;OFFSET(fTbl[[#This Row],[Hierarchy]],-1,0),IF(fTbl[[#This Row],[LT]]&lt;&gt;"!H",OFFSET(fTbl[[#This Row],[Hierarchy]],-1,0),RIGHT(OFFSET(fTbl[[#This Row],[Hierarchy]],-1,0),LEN(OFFSET(fTbl[[#This Row],[Hierarchy]],-1,0))-LEN(fTbl[[#This Row],[Field]])-1))))</f>
        <v/>
      </c>
      <c r="R53" t="e">
        <f ca="1">FIND("~",SUBSTITUTE(fTbl[[#This Row],[Hierarchy]],"|","~",1))</f>
        <v>#VALUE!</v>
      </c>
      <c r="S53" t="e">
        <f ca="1">FIND("~",SUBSTITUTE(fTbl[[#This Row],[Hierarchy]],"|","~",2))</f>
        <v>#VALUE!</v>
      </c>
      <c r="T53" cm="1">
        <f t="array" ref="T53">IF(fTbl[[#This Row],[listlu]]=0,0,IF(INDEX(Ltbl[Context],fTbl[[#This Row],[listlu]],1)="ALL",1,2))</f>
        <v>0</v>
      </c>
      <c r="U53" s="29"/>
    </row>
  </sheetData>
  <conditionalFormatting sqref="A3:L53">
    <cfRule type="expression" dxfId="522" priority="47">
      <formula>($A3="!H")</formula>
    </cfRule>
    <cfRule type="expression" dxfId="521" priority="64">
      <formula>($A3="REF")</formula>
    </cfRule>
    <cfRule type="expression" dxfId="520" priority="65">
      <formula>($A3="C")</formula>
    </cfRule>
    <cfRule type="expression" dxfId="519" priority="66">
      <formula>($A3="H")</formula>
    </cfRule>
  </conditionalFormatting>
  <conditionalFormatting sqref="I1">
    <cfRule type="cellIs" dxfId="518" priority="19" operator="greaterThan">
      <formula>"@"</formula>
    </cfRule>
  </conditionalFormatting>
  <conditionalFormatting sqref="K3:K53">
    <cfRule type="expression" dxfId="517" priority="42">
      <formula>($A3="C")</formula>
    </cfRule>
    <cfRule type="expression" dxfId="516" priority="46">
      <formula>($A3="")</formula>
    </cfRule>
  </conditionalFormatting>
  <conditionalFormatting sqref="A3:A53">
    <cfRule type="expression" dxfId="515" priority="41">
      <formula>NOT(OR(A3="",A3="H",A3="E",A3="C",A3="!H",A3="Ref"))</formula>
    </cfRule>
  </conditionalFormatting>
  <conditionalFormatting sqref="H3:H53 J3:J53">
    <cfRule type="expression" dxfId="514" priority="35">
      <formula>($O3)</formula>
    </cfRule>
  </conditionalFormatting>
  <conditionalFormatting sqref="H3:H53">
    <cfRule type="expression" dxfId="513" priority="67">
      <formula>AND($M3&gt;0,$N3&lt;&gt;$J3)</formula>
    </cfRule>
    <cfRule type="expression" dxfId="512" priority="68">
      <formula>AND($M3&gt;0,$N3=$J3)</formula>
    </cfRule>
    <cfRule type="expression" dxfId="511" priority="69">
      <formula>($M3=-1)</formula>
    </cfRule>
  </conditionalFormatting>
  <conditionalFormatting sqref="J3:J53">
    <cfRule type="expression" dxfId="510" priority="2">
      <formula>AND(M3&gt;0,N3&lt;&gt;J3)</formula>
    </cfRule>
    <cfRule type="expression" dxfId="509" priority="70">
      <formula>AND($A3="E",$E3&lt;&gt;1)</formula>
    </cfRule>
  </conditionalFormatting>
  <conditionalFormatting sqref="B3:B53">
    <cfRule type="expression" dxfId="508" priority="1">
      <formula>$P3</formula>
    </cfRule>
    <cfRule type="expression" dxfId="507" priority="15">
      <formula>AND($A3="!H",$B3&lt;&gt;OFFSET($K3,-1,0))</formula>
    </cfRule>
    <cfRule type="expression" dxfId="506" priority="71">
      <formula>AND($A3="E",$E3=1)</formula>
    </cfRule>
  </conditionalFormatting>
  <conditionalFormatting sqref="G3:G53">
    <cfRule type="expression" dxfId="505" priority="6">
      <formula>($T3=2)</formula>
    </cfRule>
    <cfRule type="expression" dxfId="504" priority="13">
      <formula>($T3=1)</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542DB-A27D-466D-B3E7-ECA16BA6EB96}">
  <sheetPr codeName="Sheet11">
    <tabColor rgb="FFFF0000"/>
  </sheetPr>
  <dimension ref="A1:U28"/>
  <sheetViews>
    <sheetView workbookViewId="0">
      <selection activeCell="B19" sqref="B19:B25"/>
    </sheetView>
  </sheetViews>
  <sheetFormatPr defaultRowHeight="15"/>
  <cols>
    <col min="1" max="1" width="5" customWidth="1"/>
    <col min="2" max="2" width="23" customWidth="1"/>
    <col min="4" max="4" width="6.42578125" customWidth="1"/>
    <col min="5" max="6" width="4.7109375" customWidth="1"/>
    <col min="7" max="7" width="1" customWidth="1"/>
    <col min="8" max="8" width="10.140625" customWidth="1"/>
    <col min="9" max="9" width="56.7109375" customWidth="1"/>
    <col min="10" max="10" width="43.5703125" customWidth="1"/>
    <col min="11" max="11" width="13.42578125" customWidth="1"/>
    <col min="12" max="12" width="5.5703125" customWidth="1"/>
    <col min="13" max="16" width="9.140625" hidden="1" customWidth="1"/>
    <col min="17" max="17" width="27.7109375" hidden="1" customWidth="1"/>
    <col min="18" max="20" width="9.140625" hidden="1" customWidth="1"/>
    <col min="21" max="21" width="58.42578125" customWidth="1"/>
  </cols>
  <sheetData>
    <row r="1" spans="1:21" ht="25.5" customHeight="1">
      <c r="I1" s="16" t="str">
        <f>IF(COUNTIFS(fTbl12[LT],"H")&lt;&gt;COUNTIFS(fTbl12[LT],"!H"),"Header imbalance # H &lt;&gt; # !H","")</f>
        <v/>
      </c>
    </row>
    <row r="2" spans="1:21">
      <c r="A2" s="14" t="s">
        <v>0</v>
      </c>
      <c r="B2" s="11" t="s">
        <v>1</v>
      </c>
      <c r="C2" s="11" t="s">
        <v>2</v>
      </c>
      <c r="D2" s="12" t="s">
        <v>3</v>
      </c>
      <c r="E2" s="12" t="s">
        <v>4</v>
      </c>
      <c r="F2" s="12" t="s">
        <v>5</v>
      </c>
      <c r="G2" s="12" t="s">
        <v>6</v>
      </c>
      <c r="H2" s="12" t="s">
        <v>7</v>
      </c>
      <c r="I2" s="18" t="s">
        <v>8</v>
      </c>
      <c r="J2" s="17" t="s">
        <v>9</v>
      </c>
      <c r="K2" s="30" t="s">
        <v>10</v>
      </c>
      <c r="L2" s="31" t="s">
        <v>11</v>
      </c>
      <c r="M2" s="13" t="s">
        <v>12</v>
      </c>
      <c r="N2" s="13" t="s">
        <v>13</v>
      </c>
      <c r="O2" s="13" t="s">
        <v>14</v>
      </c>
      <c r="P2" s="13" t="s">
        <v>15</v>
      </c>
      <c r="Q2" s="13" t="s">
        <v>16</v>
      </c>
      <c r="R2" s="13" t="s">
        <v>17</v>
      </c>
      <c r="S2" s="13" t="s">
        <v>18</v>
      </c>
      <c r="T2" s="13" t="s">
        <v>19</v>
      </c>
      <c r="U2" s="13" t="s">
        <v>20</v>
      </c>
    </row>
    <row r="3" spans="1:21">
      <c r="A3" s="15" t="s">
        <v>21</v>
      </c>
      <c r="B3" t="s">
        <v>178</v>
      </c>
      <c r="D3" s="1"/>
      <c r="E3" s="1">
        <v>1</v>
      </c>
      <c r="F3" s="1" t="s">
        <v>23</v>
      </c>
      <c r="G3" s="1"/>
      <c r="H3" s="1"/>
      <c r="I3" s="19" t="s">
        <v>179</v>
      </c>
      <c r="J3" s="28"/>
      <c r="K3" t="str">
        <f ca="1">IFERROR(IF(fTbl12[[#This Row],[LT]]="H",MID(fTbl12[[#This Row],[Hierarchy]],fTbl12[[#This Row],[pipe1]]+1,fTbl12[[#This Row],[pipe2]]-fTbl12[[#This Row],[pipe1]]-1),LEFT(fTbl12[[#This Row],[Hierarchy]],FIND("|",fTbl12[[#This Row],[Hierarchy]])-1)),"")</f>
        <v/>
      </c>
      <c r="L3" s="1">
        <f ca="1">IF(ROW()=3,0,OFFSET(fTbl12[[#This Row],[Lev]],-1,0)+IF(OFFSET(fTbl12[[#This Row],[LT]],-1,0)="H",1,IF(fTbl12[[#This Row],[LT]]="!H",-1,0)))</f>
        <v>0</v>
      </c>
      <c r="M3">
        <f>IF(RIGHT(fTbl12[[#This Row],[valid]],4)&lt;&gt;"list",0,IFERROR(MATCH(fTbl12[[#This Row],[Context]]&amp;"|"&amp;fTbl12[[#This Row],[Field]],Ltbl[ind],0),IFERROR(MATCH("ALL|"&amp;fTbl12[[#This Row],[Field]],Ltbl[ind],0),-1)))</f>
        <v>0</v>
      </c>
      <c r="N3" t="str" cm="1">
        <f t="array" ref="N3">IF(fTbl12[[#This Row],[listlu]]&lt;1,"",IF(INDEX(Ltbl[Generic],fTbl12[[#This Row],[listlu]])="","",INDEX(Ltbl[Generic],fTbl12[[#This Row],[listlu]])))</f>
        <v/>
      </c>
      <c r="O3">
        <f>IF(AND(fTbl12[[#This Row],[listlu]],ISERROR(FIND(",",fTbl12[[#This Row],[liMatch]])),fTbl12[[#This Row],[liMatch]]&lt;&gt;""),1,0)</f>
        <v>0</v>
      </c>
      <c r="P3">
        <f>IF(AND(fTbl12[[#This Row],[LT]]="Ref",ISNA(MATCH(fTbl12[[#This Row],[Field]],rTbl[Ref],0))),1,0)</f>
        <v>0</v>
      </c>
      <c r="Q3"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Errors|</v>
      </c>
      <c r="R3">
        <f ca="1">FIND("~",SUBSTITUTE(fTbl12[[#This Row],[Hierarchy]],"|","~",1))</f>
        <v>7</v>
      </c>
      <c r="S3" t="e">
        <f ca="1">FIND("~",SUBSTITUTE(fTbl12[[#This Row],[Hierarchy]],"|","~",2))</f>
        <v>#VALUE!</v>
      </c>
      <c r="T3" cm="1">
        <f t="array" ref="T3">IF(fTbl12[[#This Row],[listlu]]=0,0,IF(INDEX(Ltbl[Context],fTbl12[[#This Row],[listlu]],1)="ALL",1,2))</f>
        <v>0</v>
      </c>
      <c r="U3" s="29" t="s">
        <v>180</v>
      </c>
    </row>
    <row r="4" spans="1:21">
      <c r="A4" s="15" t="s">
        <v>28</v>
      </c>
      <c r="B4" t="s">
        <v>181</v>
      </c>
      <c r="C4" t="s">
        <v>30</v>
      </c>
      <c r="D4" s="1">
        <v>20</v>
      </c>
      <c r="E4" s="1">
        <v>0</v>
      </c>
      <c r="F4" s="1"/>
      <c r="G4" s="1"/>
      <c r="H4" s="1"/>
      <c r="I4" s="19" t="s">
        <v>182</v>
      </c>
      <c r="J4" s="28" t="s">
        <v>183</v>
      </c>
      <c r="K4" t="str">
        <f ca="1">IFERROR(IF(fTbl12[[#This Row],[LT]]="H",MID(fTbl12[[#This Row],[Hierarchy]],fTbl12[[#This Row],[pipe1]]+1,fTbl12[[#This Row],[pipe2]]-fTbl12[[#This Row],[pipe1]]-1),LEFT(fTbl12[[#This Row],[Hierarchy]],FIND("|",fTbl12[[#This Row],[Hierarchy]])-1)),"")</f>
        <v>Errors</v>
      </c>
      <c r="L4" s="1">
        <f ca="1">IF(ROW()=3,0,OFFSET(fTbl12[[#This Row],[Lev]],-1,0)+IF(OFFSET(fTbl12[[#This Row],[LT]],-1,0)="H",1,IF(fTbl12[[#This Row],[LT]]="!H",-1,0)))</f>
        <v>1</v>
      </c>
      <c r="M4">
        <f>IF(RIGHT(fTbl12[[#This Row],[valid]],4)&lt;&gt;"list",0,IFERROR(MATCH(fTbl12[[#This Row],[Context]]&amp;"|"&amp;fTbl12[[#This Row],[Field]],Ltbl[ind],0),IFERROR(MATCH("ALL|"&amp;fTbl12[[#This Row],[Field]],Ltbl[ind],0),-1)))</f>
        <v>0</v>
      </c>
      <c r="N4" t="str" cm="1">
        <f t="array" ref="N4">IF(fTbl12[[#This Row],[listlu]]&lt;1,"",IF(INDEX(Ltbl[Generic],fTbl12[[#This Row],[listlu]])="","",INDEX(Ltbl[Generic],fTbl12[[#This Row],[listlu]])))</f>
        <v/>
      </c>
      <c r="O4">
        <f>IF(AND(fTbl12[[#This Row],[listlu]],ISERROR(FIND(",",fTbl12[[#This Row],[liMatch]])),fTbl12[[#This Row],[liMatch]]&lt;&gt;""),1,0)</f>
        <v>0</v>
      </c>
      <c r="P4">
        <f>IF(AND(fTbl12[[#This Row],[LT]]="Ref",ISNA(MATCH(fTbl12[[#This Row],[Field]],rTbl[Ref],0))),1,0)</f>
        <v>0</v>
      </c>
      <c r="Q4"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Errors|</v>
      </c>
      <c r="R4">
        <f ca="1">FIND("~",SUBSTITUTE(fTbl12[[#This Row],[Hierarchy]],"|","~",1))</f>
        <v>7</v>
      </c>
      <c r="S4" t="e">
        <f ca="1">FIND("~",SUBSTITUTE(fTbl12[[#This Row],[Hierarchy]],"|","~",2))</f>
        <v>#VALUE!</v>
      </c>
      <c r="T4" cm="1">
        <f t="array" ref="T4">IF(fTbl12[[#This Row],[listlu]]=0,0,IF(INDEX(Ltbl[Context],fTbl12[[#This Row],[listlu]],1)="ALL",1,2))</f>
        <v>0</v>
      </c>
      <c r="U4" s="29"/>
    </row>
    <row r="5" spans="1:21">
      <c r="A5" s="15" t="s">
        <v>28</v>
      </c>
      <c r="B5" t="s">
        <v>103</v>
      </c>
      <c r="C5" t="s">
        <v>30</v>
      </c>
      <c r="D5" s="1">
        <v>20</v>
      </c>
      <c r="E5" s="1">
        <v>1</v>
      </c>
      <c r="F5" s="1"/>
      <c r="G5" s="1"/>
      <c r="H5" s="1" t="s">
        <v>104</v>
      </c>
      <c r="I5" s="19" t="s">
        <v>105</v>
      </c>
      <c r="J5" s="28" t="s">
        <v>45</v>
      </c>
      <c r="K5" t="str">
        <f ca="1">IFERROR(IF(fTbl12[[#This Row],[LT]]="H",MID(fTbl12[[#This Row],[Hierarchy]],fTbl12[[#This Row],[pipe1]]+1,fTbl12[[#This Row],[pipe2]]-fTbl12[[#This Row],[pipe1]]-1),LEFT(fTbl12[[#This Row],[Hierarchy]],FIND("|",fTbl12[[#This Row],[Hierarchy]])-1)),"")</f>
        <v>Errors</v>
      </c>
      <c r="L5" s="1">
        <f ca="1">IF(ROW()=3,0,OFFSET(fTbl12[[#This Row],[Lev]],-1,0)+IF(OFFSET(fTbl12[[#This Row],[LT]],-1,0)="H",1,IF(fTbl12[[#This Row],[LT]]="!H",-1,0)))</f>
        <v>1</v>
      </c>
      <c r="M5">
        <f>IF(RIGHT(fTbl12[[#This Row],[valid]],4)&lt;&gt;"list",0,IFERROR(MATCH(fTbl12[[#This Row],[Context]]&amp;"|"&amp;fTbl12[[#This Row],[Field]],Ltbl[ind],0),IFERROR(MATCH("ALL|"&amp;fTbl12[[#This Row],[Field]],Ltbl[ind],0),-1)))</f>
        <v>0</v>
      </c>
      <c r="N5" t="str" cm="1">
        <f t="array" ref="N5">IF(fTbl12[[#This Row],[listlu]]&lt;1,"",IF(INDEX(Ltbl[Generic],fTbl12[[#This Row],[listlu]])="","",INDEX(Ltbl[Generic],fTbl12[[#This Row],[listlu]])))</f>
        <v/>
      </c>
      <c r="O5">
        <f>IF(AND(fTbl12[[#This Row],[listlu]],ISERROR(FIND(",",fTbl12[[#This Row],[liMatch]])),fTbl12[[#This Row],[liMatch]]&lt;&gt;""),1,0)</f>
        <v>0</v>
      </c>
      <c r="P5">
        <f>IF(AND(fTbl12[[#This Row],[LT]]="Ref",ISNA(MATCH(fTbl12[[#This Row],[Field]],rTbl[Ref],0))),1,0)</f>
        <v>0</v>
      </c>
      <c r="Q5"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Errors|</v>
      </c>
      <c r="R5">
        <f ca="1">FIND("~",SUBSTITUTE(fTbl12[[#This Row],[Hierarchy]],"|","~",1))</f>
        <v>7</v>
      </c>
      <c r="S5" t="e">
        <f ca="1">FIND("~",SUBSTITUTE(fTbl12[[#This Row],[Hierarchy]],"|","~",2))</f>
        <v>#VALUE!</v>
      </c>
      <c r="T5" cm="1">
        <f t="array" ref="T5">IF(fTbl12[[#This Row],[listlu]]=0,0,IF(INDEX(Ltbl[Context],fTbl12[[#This Row],[listlu]],1)="ALL",1,2))</f>
        <v>0</v>
      </c>
      <c r="U5" s="29"/>
    </row>
    <row r="6" spans="1:21">
      <c r="A6" s="15" t="s">
        <v>28</v>
      </c>
      <c r="B6" t="s">
        <v>107</v>
      </c>
      <c r="C6" t="s">
        <v>30</v>
      </c>
      <c r="D6" s="1">
        <v>35</v>
      </c>
      <c r="E6" s="1">
        <v>1</v>
      </c>
      <c r="F6" s="1"/>
      <c r="G6" s="1"/>
      <c r="H6" s="1"/>
      <c r="I6" s="19" t="s">
        <v>108</v>
      </c>
      <c r="J6" s="28" t="s">
        <v>109</v>
      </c>
      <c r="K6" t="str">
        <f ca="1">IFERROR(IF(fTbl12[[#This Row],[LT]]="H",MID(fTbl12[[#This Row],[Hierarchy]],fTbl12[[#This Row],[pipe1]]+1,fTbl12[[#This Row],[pipe2]]-fTbl12[[#This Row],[pipe1]]-1),LEFT(fTbl12[[#This Row],[Hierarchy]],FIND("|",fTbl12[[#This Row],[Hierarchy]])-1)),"")</f>
        <v>Errors</v>
      </c>
      <c r="L6" s="1">
        <f ca="1">IF(ROW()=3,0,OFFSET(fTbl12[[#This Row],[Lev]],-1,0)+IF(OFFSET(fTbl12[[#This Row],[LT]],-1,0)="H",1,IF(fTbl12[[#This Row],[LT]]="!H",-1,0)))</f>
        <v>1</v>
      </c>
      <c r="M6">
        <f>IF(RIGHT(fTbl12[[#This Row],[valid]],4)&lt;&gt;"list",0,IFERROR(MATCH(fTbl12[[#This Row],[Context]]&amp;"|"&amp;fTbl12[[#This Row],[Field]],Ltbl[ind],0),IFERROR(MATCH("ALL|"&amp;fTbl12[[#This Row],[Field]],Ltbl[ind],0),-1)))</f>
        <v>0</v>
      </c>
      <c r="N6" t="str" cm="1">
        <f t="array" ref="N6">IF(fTbl12[[#This Row],[listlu]]&lt;1,"",IF(INDEX(Ltbl[Generic],fTbl12[[#This Row],[listlu]])="","",INDEX(Ltbl[Generic],fTbl12[[#This Row],[listlu]])))</f>
        <v/>
      </c>
      <c r="O6">
        <f>IF(AND(fTbl12[[#This Row],[listlu]],ISERROR(FIND(",",fTbl12[[#This Row],[liMatch]])),fTbl12[[#This Row],[liMatch]]&lt;&gt;""),1,0)</f>
        <v>0</v>
      </c>
      <c r="P6">
        <f>IF(AND(fTbl12[[#This Row],[LT]]="Ref",ISNA(MATCH(fTbl12[[#This Row],[Field]],rTbl[Ref],0))),1,0)</f>
        <v>0</v>
      </c>
      <c r="Q6"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Errors|</v>
      </c>
      <c r="R6">
        <f ca="1">FIND("~",SUBSTITUTE(fTbl12[[#This Row],[Hierarchy]],"|","~",1))</f>
        <v>7</v>
      </c>
      <c r="S6" t="e">
        <f ca="1">FIND("~",SUBSTITUTE(fTbl12[[#This Row],[Hierarchy]],"|","~",2))</f>
        <v>#VALUE!</v>
      </c>
      <c r="T6" cm="1">
        <f t="array" ref="T6">IF(fTbl12[[#This Row],[listlu]]=0,0,IF(INDEX(Ltbl[Context],fTbl12[[#This Row],[listlu]],1)="ALL",1,2))</f>
        <v>0</v>
      </c>
      <c r="U6" s="29"/>
    </row>
    <row r="7" spans="1:21">
      <c r="A7" s="15" t="s">
        <v>28</v>
      </c>
      <c r="B7" t="s">
        <v>40</v>
      </c>
      <c r="C7" t="s">
        <v>30</v>
      </c>
      <c r="D7" s="1">
        <v>250</v>
      </c>
      <c r="E7" s="1">
        <v>0</v>
      </c>
      <c r="F7" s="1"/>
      <c r="G7" s="1"/>
      <c r="H7" s="1"/>
      <c r="I7" s="19" t="s">
        <v>184</v>
      </c>
      <c r="J7" s="28" t="s">
        <v>42</v>
      </c>
      <c r="K7" t="str">
        <f ca="1">IFERROR(IF(fTbl12[[#This Row],[LT]]="H",MID(fTbl12[[#This Row],[Hierarchy]],fTbl12[[#This Row],[pipe1]]+1,fTbl12[[#This Row],[pipe2]]-fTbl12[[#This Row],[pipe1]]-1),LEFT(fTbl12[[#This Row],[Hierarchy]],FIND("|",fTbl12[[#This Row],[Hierarchy]])-1)),"")</f>
        <v>Errors</v>
      </c>
      <c r="L7" s="1">
        <f ca="1">IF(ROW()=3,0,OFFSET(fTbl12[[#This Row],[Lev]],-1,0)+IF(OFFSET(fTbl12[[#This Row],[LT]],-1,0)="H",1,IF(fTbl12[[#This Row],[LT]]="!H",-1,0)))</f>
        <v>1</v>
      </c>
      <c r="M7">
        <f>IF(RIGHT(fTbl12[[#This Row],[valid]],4)&lt;&gt;"list",0,IFERROR(MATCH(fTbl12[[#This Row],[Context]]&amp;"|"&amp;fTbl12[[#This Row],[Field]],Ltbl[ind],0),IFERROR(MATCH("ALL|"&amp;fTbl12[[#This Row],[Field]],Ltbl[ind],0),-1)))</f>
        <v>0</v>
      </c>
      <c r="N7" t="str" cm="1">
        <f t="array" ref="N7">IF(fTbl12[[#This Row],[listlu]]&lt;1,"",IF(INDEX(Ltbl[Generic],fTbl12[[#This Row],[listlu]])="","",INDEX(Ltbl[Generic],fTbl12[[#This Row],[listlu]])))</f>
        <v/>
      </c>
      <c r="O7">
        <f>IF(AND(fTbl12[[#This Row],[listlu]],ISERROR(FIND(",",fTbl12[[#This Row],[liMatch]])),fTbl12[[#This Row],[liMatch]]&lt;&gt;""),1,0)</f>
        <v>0</v>
      </c>
      <c r="P7">
        <f>IF(AND(fTbl12[[#This Row],[LT]]="Ref",ISNA(MATCH(fTbl12[[#This Row],[Field]],rTbl[Ref],0))),1,0)</f>
        <v>0</v>
      </c>
      <c r="Q7"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Errors|</v>
      </c>
      <c r="R7">
        <f ca="1">FIND("~",SUBSTITUTE(fTbl12[[#This Row],[Hierarchy]],"|","~",1))</f>
        <v>7</v>
      </c>
      <c r="S7" t="e">
        <f ca="1">FIND("~",SUBSTITUTE(fTbl12[[#This Row],[Hierarchy]],"|","~",2))</f>
        <v>#VALUE!</v>
      </c>
      <c r="T7" cm="1">
        <f t="array" ref="T7">IF(fTbl12[[#This Row],[listlu]]=0,0,IF(INDEX(Ltbl[Context],fTbl12[[#This Row],[listlu]],1)="ALL",1,2))</f>
        <v>0</v>
      </c>
      <c r="U7" s="29"/>
    </row>
    <row r="8" spans="1:21">
      <c r="A8" s="15" t="s">
        <v>28</v>
      </c>
      <c r="B8" t="s">
        <v>43</v>
      </c>
      <c r="C8" t="s">
        <v>30</v>
      </c>
      <c r="D8" s="1">
        <v>50</v>
      </c>
      <c r="E8" s="1">
        <v>0</v>
      </c>
      <c r="F8" s="1"/>
      <c r="G8" s="1"/>
      <c r="H8" s="1"/>
      <c r="I8" s="19" t="s">
        <v>44</v>
      </c>
      <c r="J8" s="28" t="s">
        <v>183</v>
      </c>
      <c r="K8" t="str">
        <f ca="1">IFERROR(IF(fTbl12[[#This Row],[LT]]="H",MID(fTbl12[[#This Row],[Hierarchy]],fTbl12[[#This Row],[pipe1]]+1,fTbl12[[#This Row],[pipe2]]-fTbl12[[#This Row],[pipe1]]-1),LEFT(fTbl12[[#This Row],[Hierarchy]],FIND("|",fTbl12[[#This Row],[Hierarchy]])-1)),"")</f>
        <v>Errors</v>
      </c>
      <c r="L8" s="1">
        <f ca="1">IF(ROW()=3,0,OFFSET(fTbl12[[#This Row],[Lev]],-1,0)+IF(OFFSET(fTbl12[[#This Row],[LT]],-1,0)="H",1,IF(fTbl12[[#This Row],[LT]]="!H",-1,0)))</f>
        <v>1</v>
      </c>
      <c r="M8">
        <f>IF(RIGHT(fTbl12[[#This Row],[valid]],4)&lt;&gt;"list",0,IFERROR(MATCH(fTbl12[[#This Row],[Context]]&amp;"|"&amp;fTbl12[[#This Row],[Field]],Ltbl[ind],0),IFERROR(MATCH("ALL|"&amp;fTbl12[[#This Row],[Field]],Ltbl[ind],0),-1)))</f>
        <v>0</v>
      </c>
      <c r="N8" t="str" cm="1">
        <f t="array" ref="N8">IF(fTbl12[[#This Row],[listlu]]&lt;1,"",IF(INDEX(Ltbl[Generic],fTbl12[[#This Row],[listlu]])="","",INDEX(Ltbl[Generic],fTbl12[[#This Row],[listlu]])))</f>
        <v/>
      </c>
      <c r="O8">
        <f>IF(AND(fTbl12[[#This Row],[listlu]],ISERROR(FIND(",",fTbl12[[#This Row],[liMatch]])),fTbl12[[#This Row],[liMatch]]&lt;&gt;""),1,0)</f>
        <v>0</v>
      </c>
      <c r="P8">
        <f>IF(AND(fTbl12[[#This Row],[LT]]="Ref",ISNA(MATCH(fTbl12[[#This Row],[Field]],rTbl[Ref],0))),1,0)</f>
        <v>0</v>
      </c>
      <c r="Q8"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Errors|</v>
      </c>
      <c r="R8">
        <f ca="1">FIND("~",SUBSTITUTE(fTbl12[[#This Row],[Hierarchy]],"|","~",1))</f>
        <v>7</v>
      </c>
      <c r="S8" t="e">
        <f ca="1">FIND("~",SUBSTITUTE(fTbl12[[#This Row],[Hierarchy]],"|","~",2))</f>
        <v>#VALUE!</v>
      </c>
      <c r="T8" cm="1">
        <f t="array" ref="T8">IF(fTbl12[[#This Row],[listlu]]=0,0,IF(INDEX(Ltbl[Context],fTbl12[[#This Row],[listlu]],1)="ALL",1,2))</f>
        <v>0</v>
      </c>
      <c r="U8" s="29"/>
    </row>
    <row r="9" spans="1:21">
      <c r="A9" s="15" t="s">
        <v>28</v>
      </c>
      <c r="B9" t="s">
        <v>55</v>
      </c>
      <c r="C9" t="s">
        <v>30</v>
      </c>
      <c r="D9" s="1">
        <v>5</v>
      </c>
      <c r="E9" s="1">
        <v>1</v>
      </c>
      <c r="F9" s="1"/>
      <c r="G9" s="1"/>
      <c r="H9" s="1" t="s">
        <v>56</v>
      </c>
      <c r="I9" s="19" t="s">
        <v>185</v>
      </c>
      <c r="J9" s="28" t="s">
        <v>186</v>
      </c>
      <c r="K9" t="str">
        <f ca="1">IFERROR(IF(fTbl12[[#This Row],[LT]]="H",MID(fTbl12[[#This Row],[Hierarchy]],fTbl12[[#This Row],[pipe1]]+1,fTbl12[[#This Row],[pipe2]]-fTbl12[[#This Row],[pipe1]]-1),LEFT(fTbl12[[#This Row],[Hierarchy]],FIND("|",fTbl12[[#This Row],[Hierarchy]])-1)),"")</f>
        <v>Errors</v>
      </c>
      <c r="L9" s="1">
        <f ca="1">IF(ROW()=3,0,OFFSET(fTbl12[[#This Row],[Lev]],-1,0)+IF(OFFSET(fTbl12[[#This Row],[LT]],-1,0)="H",1,IF(fTbl12[[#This Row],[LT]]="!H",-1,0)))</f>
        <v>1</v>
      </c>
      <c r="M9">
        <f ca="1">IF(RIGHT(fTbl12[[#This Row],[valid]],4)&lt;&gt;"list",0,IFERROR(MATCH(fTbl12[[#This Row],[Context]]&amp;"|"&amp;fTbl12[[#This Row],[Field]],Ltbl[ind],0),IFERROR(MATCH("ALL|"&amp;fTbl12[[#This Row],[Field]],Ltbl[ind],0),-1)))</f>
        <v>12</v>
      </c>
      <c r="N9" t="str" cm="1">
        <f t="array" aca="1" ref="N9" ca="1">IF(fTbl12[[#This Row],[listlu]]&lt;1,"",IF(INDEX(Ltbl[Generic],fTbl12[[#This Row],[listlu]])="","",INDEX(Ltbl[Generic],fTbl12[[#This Row],[listlu]])))</f>
        <v>WO,SO,TOO,PO,TOI,ASN,RETK,RETU,MD</v>
      </c>
      <c r="O9">
        <f ca="1">IF(AND(fTbl12[[#This Row],[listlu]],ISERROR(FIND(",",fTbl12[[#This Row],[liMatch]])),fTbl12[[#This Row],[liMatch]]&lt;&gt;""),1,0)</f>
        <v>0</v>
      </c>
      <c r="P9">
        <f>IF(AND(fTbl12[[#This Row],[LT]]="Ref",ISNA(MATCH(fTbl12[[#This Row],[Field]],rTbl[Ref],0))),1,0)</f>
        <v>0</v>
      </c>
      <c r="Q9"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Errors|</v>
      </c>
      <c r="R9">
        <f ca="1">FIND("~",SUBSTITUTE(fTbl12[[#This Row],[Hierarchy]],"|","~",1))</f>
        <v>7</v>
      </c>
      <c r="S9" t="e">
        <f ca="1">FIND("~",SUBSTITUTE(fTbl12[[#This Row],[Hierarchy]],"|","~",2))</f>
        <v>#VALUE!</v>
      </c>
      <c r="T9" cm="1">
        <f t="array" aca="1" ref="T9" ca="1">IF(fTbl12[[#This Row],[listlu]]=0,0,IF(INDEX(Ltbl[Context],fTbl12[[#This Row],[listlu]],1)="ALL",1,2))</f>
        <v>2</v>
      </c>
      <c r="U9" s="29"/>
    </row>
    <row r="10" spans="1:21">
      <c r="A10" s="15" t="s">
        <v>28</v>
      </c>
      <c r="B10" t="s">
        <v>60</v>
      </c>
      <c r="C10" t="s">
        <v>30</v>
      </c>
      <c r="D10" s="1">
        <v>5</v>
      </c>
      <c r="E10" s="1">
        <v>1</v>
      </c>
      <c r="F10" s="1"/>
      <c r="G10" s="1"/>
      <c r="H10" s="1" t="s">
        <v>56</v>
      </c>
      <c r="I10" s="19" t="s">
        <v>187</v>
      </c>
      <c r="J10" s="28" t="s">
        <v>62</v>
      </c>
      <c r="K10" t="str">
        <f ca="1">IFERROR(IF(fTbl12[[#This Row],[LT]]="H",MID(fTbl12[[#This Row],[Hierarchy]],fTbl12[[#This Row],[pipe1]]+1,fTbl12[[#This Row],[pipe2]]-fTbl12[[#This Row],[pipe1]]-1),LEFT(fTbl12[[#This Row],[Hierarchy]],FIND("|",fTbl12[[#This Row],[Hierarchy]])-1)),"")</f>
        <v>Errors</v>
      </c>
      <c r="L10" s="1">
        <f ca="1">IF(ROW()=3,0,OFFSET(fTbl12[[#This Row],[Lev]],-1,0)+IF(OFFSET(fTbl12[[#This Row],[LT]],-1,0)="H",1,IF(fTbl12[[#This Row],[LT]]="!H",-1,0)))</f>
        <v>1</v>
      </c>
      <c r="M10">
        <f ca="1">IF(RIGHT(fTbl12[[#This Row],[valid]],4)&lt;&gt;"list",0,IFERROR(MATCH(fTbl12[[#This Row],[Context]]&amp;"|"&amp;fTbl12[[#This Row],[Field]],Ltbl[ind],0),IFERROR(MATCH("ALL|"&amp;fTbl12[[#This Row],[Field]],Ltbl[ind],0),-1)))</f>
        <v>8</v>
      </c>
      <c r="N10" t="str" cm="1">
        <f t="array" aca="1" ref="N10" ca="1">IF(fTbl12[[#This Row],[listlu]]&lt;1,"",IF(INDEX(Ltbl[Generic],fTbl12[[#This Row],[listlu]])="","",INDEX(Ltbl[Generic],fTbl12[[#This Row],[listlu]])))</f>
        <v>NEW,UPD</v>
      </c>
      <c r="O10">
        <f ca="1">IF(AND(fTbl12[[#This Row],[listlu]],ISERROR(FIND(",",fTbl12[[#This Row],[liMatch]])),fTbl12[[#This Row],[liMatch]]&lt;&gt;""),1,0)</f>
        <v>0</v>
      </c>
      <c r="P10">
        <f>IF(AND(fTbl12[[#This Row],[LT]]="Ref",ISNA(MATCH(fTbl12[[#This Row],[Field]],rTbl[Ref],0))),1,0)</f>
        <v>0</v>
      </c>
      <c r="Q10"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Errors|</v>
      </c>
      <c r="R10">
        <f ca="1">FIND("~",SUBSTITUTE(fTbl12[[#This Row],[Hierarchy]],"|","~",1))</f>
        <v>7</v>
      </c>
      <c r="S10" t="e">
        <f ca="1">FIND("~",SUBSTITUTE(fTbl12[[#This Row],[Hierarchy]],"|","~",2))</f>
        <v>#VALUE!</v>
      </c>
      <c r="T10" cm="1">
        <f t="array" aca="1" ref="T10" ca="1">IF(fTbl12[[#This Row],[listlu]]=0,0,IF(INDEX(Ltbl[Context],fTbl12[[#This Row],[listlu]],1)="ALL",1,2))</f>
        <v>1</v>
      </c>
      <c r="U10" s="29"/>
    </row>
    <row r="11" spans="1:21">
      <c r="A11" s="15" t="s">
        <v>28</v>
      </c>
      <c r="B11" t="s">
        <v>88</v>
      </c>
      <c r="C11" t="s">
        <v>89</v>
      </c>
      <c r="D11" s="1"/>
      <c r="E11" s="1">
        <v>0</v>
      </c>
      <c r="F11" s="1"/>
      <c r="G11" s="1"/>
      <c r="H11" s="1"/>
      <c r="I11" s="19" t="s">
        <v>90</v>
      </c>
      <c r="J11" s="28" t="s">
        <v>91</v>
      </c>
      <c r="K11" t="str">
        <f ca="1">IFERROR(IF(fTbl12[[#This Row],[LT]]="H",MID(fTbl12[[#This Row],[Hierarchy]],fTbl12[[#This Row],[pipe1]]+1,fTbl12[[#This Row],[pipe2]]-fTbl12[[#This Row],[pipe1]]-1),LEFT(fTbl12[[#This Row],[Hierarchy]],FIND("|",fTbl12[[#This Row],[Hierarchy]])-1)),"")</f>
        <v>Errors</v>
      </c>
      <c r="L11" s="1">
        <f ca="1">IF(ROW()=3,0,OFFSET(fTbl12[[#This Row],[Lev]],-1,0)+IF(OFFSET(fTbl12[[#This Row],[LT]],-1,0)="H",1,IF(fTbl12[[#This Row],[LT]]="!H",-1,0)))</f>
        <v>1</v>
      </c>
      <c r="M11">
        <f>IF(RIGHT(fTbl12[[#This Row],[valid]],4)&lt;&gt;"list",0,IFERROR(MATCH(fTbl12[[#This Row],[Context]]&amp;"|"&amp;fTbl12[[#This Row],[Field]],Ltbl[ind],0),IFERROR(MATCH("ALL|"&amp;fTbl12[[#This Row],[Field]],Ltbl[ind],0),-1)))</f>
        <v>0</v>
      </c>
      <c r="N11" t="str" cm="1">
        <f t="array" ref="N11">IF(fTbl12[[#This Row],[listlu]]&lt;1,"",IF(INDEX(Ltbl[Generic],fTbl12[[#This Row],[listlu]])="","",INDEX(Ltbl[Generic],fTbl12[[#This Row],[listlu]])))</f>
        <v/>
      </c>
      <c r="O11">
        <f>IF(AND(fTbl12[[#This Row],[listlu]],ISERROR(FIND(",",fTbl12[[#This Row],[liMatch]])),fTbl12[[#This Row],[liMatch]]&lt;&gt;""),1,0)</f>
        <v>0</v>
      </c>
      <c r="P11">
        <f>IF(AND(fTbl12[[#This Row],[LT]]="Ref",ISNA(MATCH(fTbl12[[#This Row],[Field]],rTbl[Ref],0))),1,0)</f>
        <v>0</v>
      </c>
      <c r="Q11"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Errors|</v>
      </c>
      <c r="R11">
        <f ca="1">FIND("~",SUBSTITUTE(fTbl12[[#This Row],[Hierarchy]],"|","~",1))</f>
        <v>7</v>
      </c>
      <c r="S11" t="e">
        <f ca="1">FIND("~",SUBSTITUTE(fTbl12[[#This Row],[Hierarchy]],"|","~",2))</f>
        <v>#VALUE!</v>
      </c>
      <c r="T11" cm="1">
        <f t="array" ref="T11">IF(fTbl12[[#This Row],[listlu]]=0,0,IF(INDEX(Ltbl[Context],fTbl12[[#This Row],[listlu]],1)="ALL",1,2))</f>
        <v>0</v>
      </c>
      <c r="U11" s="29"/>
    </row>
    <row r="12" spans="1:21">
      <c r="A12" s="15" t="s">
        <v>28</v>
      </c>
      <c r="B12" t="s">
        <v>188</v>
      </c>
      <c r="C12" t="s">
        <v>30</v>
      </c>
      <c r="D12" s="1">
        <v>5</v>
      </c>
      <c r="E12" s="1">
        <v>0</v>
      </c>
      <c r="F12" s="1"/>
      <c r="G12" s="1"/>
      <c r="H12" s="1"/>
      <c r="I12" s="19" t="s">
        <v>189</v>
      </c>
      <c r="J12" s="28" t="s">
        <v>190</v>
      </c>
      <c r="K12" t="str">
        <f ca="1">IFERROR(IF(fTbl12[[#This Row],[LT]]="H",MID(fTbl12[[#This Row],[Hierarchy]],fTbl12[[#This Row],[pipe1]]+1,fTbl12[[#This Row],[pipe2]]-fTbl12[[#This Row],[pipe1]]-1),LEFT(fTbl12[[#This Row],[Hierarchy]],FIND("|",fTbl12[[#This Row],[Hierarchy]])-1)),"")</f>
        <v>Errors</v>
      </c>
      <c r="L12" s="1">
        <f ca="1">IF(ROW()=3,0,OFFSET(fTbl12[[#This Row],[Lev]],-1,0)+IF(OFFSET(fTbl12[[#This Row],[LT]],-1,0)="H",1,IF(fTbl12[[#This Row],[LT]]="!H",-1,0)))</f>
        <v>1</v>
      </c>
      <c r="M12">
        <f>IF(RIGHT(fTbl12[[#This Row],[valid]],4)&lt;&gt;"list",0,IFERROR(MATCH(fTbl12[[#This Row],[Context]]&amp;"|"&amp;fTbl12[[#This Row],[Field]],Ltbl[ind],0),IFERROR(MATCH("ALL|"&amp;fTbl12[[#This Row],[Field]],Ltbl[ind],0),-1)))</f>
        <v>0</v>
      </c>
      <c r="N12" t="str" cm="1">
        <f t="array" ref="N12">IF(fTbl12[[#This Row],[listlu]]&lt;1,"",IF(INDEX(Ltbl[Generic],fTbl12[[#This Row],[listlu]])="","",INDEX(Ltbl[Generic],fTbl12[[#This Row],[listlu]])))</f>
        <v/>
      </c>
      <c r="O12">
        <f>IF(AND(fTbl12[[#This Row],[listlu]],ISERROR(FIND(",",fTbl12[[#This Row],[liMatch]])),fTbl12[[#This Row],[liMatch]]&lt;&gt;""),1,0)</f>
        <v>0</v>
      </c>
      <c r="P12">
        <f>IF(AND(fTbl12[[#This Row],[LT]]="Ref",ISNA(MATCH(fTbl12[[#This Row],[Field]],rTbl[Ref],0))),1,0)</f>
        <v>0</v>
      </c>
      <c r="Q12"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Errors|</v>
      </c>
      <c r="R12">
        <f ca="1">FIND("~",SUBSTITUTE(fTbl12[[#This Row],[Hierarchy]],"|","~",1))</f>
        <v>7</v>
      </c>
      <c r="S12" t="e">
        <f ca="1">FIND("~",SUBSTITUTE(fTbl12[[#This Row],[Hierarchy]],"|","~",2))</f>
        <v>#VALUE!</v>
      </c>
      <c r="T12" cm="1">
        <f t="array" ref="T12">IF(fTbl12[[#This Row],[listlu]]=0,0,IF(INDEX(Ltbl[Context],fTbl12[[#This Row],[listlu]],1)="ALL",1,2))</f>
        <v>0</v>
      </c>
      <c r="U12" s="29"/>
    </row>
    <row r="13" spans="1:21">
      <c r="A13" s="15" t="s">
        <v>21</v>
      </c>
      <c r="B13" t="s">
        <v>191</v>
      </c>
      <c r="D13" s="1"/>
      <c r="E13" s="1"/>
      <c r="F13" s="1"/>
      <c r="G13" s="1"/>
      <c r="H13" s="1"/>
      <c r="I13" s="19" t="s">
        <v>192</v>
      </c>
      <c r="J13" s="28"/>
      <c r="K13" t="str">
        <f ca="1">IFERROR(IF(fTbl12[[#This Row],[LT]]="H",MID(fTbl12[[#This Row],[Hierarchy]],fTbl12[[#This Row],[pipe1]]+1,fTbl12[[#This Row],[pipe2]]-fTbl12[[#This Row],[pipe1]]-1),LEFT(fTbl12[[#This Row],[Hierarchy]],FIND("|",fTbl12[[#This Row],[Hierarchy]])-1)),"")</f>
        <v>Errors</v>
      </c>
      <c r="L13" s="1">
        <f ca="1">IF(ROW()=3,0,OFFSET(fTbl12[[#This Row],[Lev]],-1,0)+IF(OFFSET(fTbl12[[#This Row],[LT]],-1,0)="H",1,IF(fTbl12[[#This Row],[LT]]="!H",-1,0)))</f>
        <v>1</v>
      </c>
      <c r="M13">
        <f>IF(RIGHT(fTbl12[[#This Row],[valid]],4)&lt;&gt;"list",0,IFERROR(MATCH(fTbl12[[#This Row],[Context]]&amp;"|"&amp;fTbl12[[#This Row],[Field]],Ltbl[ind],0),IFERROR(MATCH("ALL|"&amp;fTbl12[[#This Row],[Field]],Ltbl[ind],0),-1)))</f>
        <v>0</v>
      </c>
      <c r="N13" t="str" cm="1">
        <f t="array" ref="N13">IF(fTbl12[[#This Row],[listlu]]&lt;1,"",IF(INDEX(Ltbl[Generic],fTbl12[[#This Row],[listlu]])="","",INDEX(Ltbl[Generic],fTbl12[[#This Row],[listlu]])))</f>
        <v/>
      </c>
      <c r="O13">
        <f>IF(AND(fTbl12[[#This Row],[listlu]],ISERROR(FIND(",",fTbl12[[#This Row],[liMatch]])),fTbl12[[#This Row],[liMatch]]&lt;&gt;""),1,0)</f>
        <v>0</v>
      </c>
      <c r="P13">
        <f>IF(AND(fTbl12[[#This Row],[LT]]="Ref",ISNA(MATCH(fTbl12[[#This Row],[Field]],rTbl[Ref],0))),1,0)</f>
        <v>0</v>
      </c>
      <c r="Q13"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HeadErrs|Errors|</v>
      </c>
      <c r="R13">
        <f ca="1">FIND("~",SUBSTITUTE(fTbl12[[#This Row],[Hierarchy]],"|","~",1))</f>
        <v>9</v>
      </c>
      <c r="S13">
        <f ca="1">FIND("~",SUBSTITUTE(fTbl12[[#This Row],[Hierarchy]],"|","~",2))</f>
        <v>16</v>
      </c>
      <c r="T13" cm="1">
        <f t="array" ref="T13">IF(fTbl12[[#This Row],[listlu]]=0,0,IF(INDEX(Ltbl[Context],fTbl12[[#This Row],[listlu]],1)="ALL",1,2))</f>
        <v>0</v>
      </c>
      <c r="U13" s="29"/>
    </row>
    <row r="14" spans="1:21">
      <c r="A14" s="15" t="s">
        <v>28</v>
      </c>
      <c r="B14" t="s">
        <v>193</v>
      </c>
      <c r="C14" t="s">
        <v>30</v>
      </c>
      <c r="D14" s="1">
        <v>5</v>
      </c>
      <c r="E14" s="1">
        <v>0</v>
      </c>
      <c r="F14" s="1"/>
      <c r="G14" s="1"/>
      <c r="H14" s="1" t="s">
        <v>31</v>
      </c>
      <c r="I14" s="19"/>
      <c r="J14" s="28" t="s">
        <v>194</v>
      </c>
      <c r="K14" t="str">
        <f ca="1">IFERROR(IF(fTbl12[[#This Row],[LT]]="H",MID(fTbl12[[#This Row],[Hierarchy]],fTbl12[[#This Row],[pipe1]]+1,fTbl12[[#This Row],[pipe2]]-fTbl12[[#This Row],[pipe1]]-1),LEFT(fTbl12[[#This Row],[Hierarchy]],FIND("|",fTbl12[[#This Row],[Hierarchy]])-1)),"")</f>
        <v>HeadErrs</v>
      </c>
      <c r="L14" s="1">
        <f ca="1">IF(ROW()=3,0,OFFSET(fTbl12[[#This Row],[Lev]],-1,0)+IF(OFFSET(fTbl12[[#This Row],[LT]],-1,0)="H",1,IF(fTbl12[[#This Row],[LT]]="!H",-1,0)))</f>
        <v>2</v>
      </c>
      <c r="M14">
        <f ca="1">IF(RIGHT(fTbl12[[#This Row],[valid]],4)&lt;&gt;"list",0,IFERROR(MATCH(fTbl12[[#This Row],[Context]]&amp;"|"&amp;fTbl12[[#This Row],[Field]],Ltbl[ind],0),IFERROR(MATCH("ALL|"&amp;fTbl12[[#This Row],[Field]],Ltbl[ind],0),-1)))</f>
        <v>5</v>
      </c>
      <c r="N14" t="str" cm="1">
        <f t="array" aca="1" ref="N14" ca="1">IF(fTbl12[[#This Row],[listlu]]&lt;1,"",IF(INDEX(Ltbl[Generic],fTbl12[[#This Row],[listlu]])="","",INDEX(Ltbl[Generic],fTbl12[[#This Row],[listlu]])))</f>
        <v>LEN,MAND,FTYPE,ENUM,STOCK</v>
      </c>
      <c r="O14">
        <f ca="1">IF(AND(fTbl12[[#This Row],[listlu]],ISERROR(FIND(",",fTbl12[[#This Row],[liMatch]])),fTbl12[[#This Row],[liMatch]]&lt;&gt;""),1,0)</f>
        <v>0</v>
      </c>
      <c r="P14">
        <f>IF(AND(fTbl12[[#This Row],[LT]]="Ref",ISNA(MATCH(fTbl12[[#This Row],[Field]],rTbl[Ref],0))),1,0)</f>
        <v>0</v>
      </c>
      <c r="Q14"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HeadErrs|Errors|</v>
      </c>
      <c r="R14">
        <f ca="1">FIND("~",SUBSTITUTE(fTbl12[[#This Row],[Hierarchy]],"|","~",1))</f>
        <v>9</v>
      </c>
      <c r="S14">
        <f ca="1">FIND("~",SUBSTITUTE(fTbl12[[#This Row],[Hierarchy]],"|","~",2))</f>
        <v>16</v>
      </c>
      <c r="T14" cm="1">
        <f t="array" aca="1" ref="T14" ca="1">IF(fTbl12[[#This Row],[listlu]]=0,0,IF(INDEX(Ltbl[Context],fTbl12[[#This Row],[listlu]],1)="ALL",1,2))</f>
        <v>1</v>
      </c>
      <c r="U14" s="29"/>
    </row>
    <row r="15" spans="1:21">
      <c r="A15" s="15" t="s">
        <v>28</v>
      </c>
      <c r="B15" t="s">
        <v>195</v>
      </c>
      <c r="C15" t="s">
        <v>30</v>
      </c>
      <c r="D15" s="1">
        <v>35</v>
      </c>
      <c r="E15" s="1">
        <v>0</v>
      </c>
      <c r="F15" s="1"/>
      <c r="G15" s="1"/>
      <c r="H15" s="1"/>
      <c r="I15" s="19"/>
      <c r="J15" s="28" t="s">
        <v>29</v>
      </c>
      <c r="K15" t="str">
        <f ca="1">IFERROR(IF(fTbl12[[#This Row],[LT]]="H",MID(fTbl12[[#This Row],[Hierarchy]],fTbl12[[#This Row],[pipe1]]+1,fTbl12[[#This Row],[pipe2]]-fTbl12[[#This Row],[pipe1]]-1),LEFT(fTbl12[[#This Row],[Hierarchy]],FIND("|",fTbl12[[#This Row],[Hierarchy]])-1)),"")</f>
        <v>HeadErrs</v>
      </c>
      <c r="L15" s="1">
        <f ca="1">IF(ROW()=3,0,OFFSET(fTbl12[[#This Row],[Lev]],-1,0)+IF(OFFSET(fTbl12[[#This Row],[LT]],-1,0)="H",1,IF(fTbl12[[#This Row],[LT]]="!H",-1,0)))</f>
        <v>2</v>
      </c>
      <c r="M15">
        <f>IF(RIGHT(fTbl12[[#This Row],[valid]],4)&lt;&gt;"list",0,IFERROR(MATCH(fTbl12[[#This Row],[Context]]&amp;"|"&amp;fTbl12[[#This Row],[Field]],Ltbl[ind],0),IFERROR(MATCH("ALL|"&amp;fTbl12[[#This Row],[Field]],Ltbl[ind],0),-1)))</f>
        <v>0</v>
      </c>
      <c r="N15" t="str" cm="1">
        <f t="array" ref="N15">IF(fTbl12[[#This Row],[listlu]]&lt;1,"",IF(INDEX(Ltbl[Generic],fTbl12[[#This Row],[listlu]])="","",INDEX(Ltbl[Generic],fTbl12[[#This Row],[listlu]])))</f>
        <v/>
      </c>
      <c r="O15">
        <f>IF(AND(fTbl12[[#This Row],[listlu]],ISERROR(FIND(",",fTbl12[[#This Row],[liMatch]])),fTbl12[[#This Row],[liMatch]]&lt;&gt;""),1,0)</f>
        <v>0</v>
      </c>
      <c r="P15">
        <f>IF(AND(fTbl12[[#This Row],[LT]]="Ref",ISNA(MATCH(fTbl12[[#This Row],[Field]],rTbl[Ref],0))),1,0)</f>
        <v>0</v>
      </c>
      <c r="Q15"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HeadErrs|Errors|</v>
      </c>
      <c r="R15">
        <f ca="1">FIND("~",SUBSTITUTE(fTbl12[[#This Row],[Hierarchy]],"|","~",1))</f>
        <v>9</v>
      </c>
      <c r="S15">
        <f ca="1">FIND("~",SUBSTITUTE(fTbl12[[#This Row],[Hierarchy]],"|","~",2))</f>
        <v>16</v>
      </c>
      <c r="T15" cm="1">
        <f t="array" ref="T15">IF(fTbl12[[#This Row],[listlu]]=0,0,IF(INDEX(Ltbl[Context],fTbl12[[#This Row],[listlu]],1)="ALL",1,2))</f>
        <v>0</v>
      </c>
      <c r="U15" s="29"/>
    </row>
    <row r="16" spans="1:21">
      <c r="A16" s="15" t="s">
        <v>28</v>
      </c>
      <c r="B16" t="s">
        <v>196</v>
      </c>
      <c r="C16" t="s">
        <v>30</v>
      </c>
      <c r="D16" s="1">
        <v>250</v>
      </c>
      <c r="E16" s="1">
        <v>0</v>
      </c>
      <c r="F16" s="1"/>
      <c r="G16" s="1"/>
      <c r="H16" s="1"/>
      <c r="I16" s="19"/>
      <c r="J16" s="28" t="s">
        <v>197</v>
      </c>
      <c r="K16" t="str">
        <f ca="1">IFERROR(IF(fTbl12[[#This Row],[LT]]="H",MID(fTbl12[[#This Row],[Hierarchy]],fTbl12[[#This Row],[pipe1]]+1,fTbl12[[#This Row],[pipe2]]-fTbl12[[#This Row],[pipe1]]-1),LEFT(fTbl12[[#This Row],[Hierarchy]],FIND("|",fTbl12[[#This Row],[Hierarchy]])-1)),"")</f>
        <v>HeadErrs</v>
      </c>
      <c r="L16" s="1">
        <f ca="1">IF(ROW()=3,0,OFFSET(fTbl12[[#This Row],[Lev]],-1,0)+IF(OFFSET(fTbl12[[#This Row],[LT]],-1,0)="H",1,IF(fTbl12[[#This Row],[LT]]="!H",-1,0)))</f>
        <v>2</v>
      </c>
      <c r="M16">
        <f>IF(RIGHT(fTbl12[[#This Row],[valid]],4)&lt;&gt;"list",0,IFERROR(MATCH(fTbl12[[#This Row],[Context]]&amp;"|"&amp;fTbl12[[#This Row],[Field]],Ltbl[ind],0),IFERROR(MATCH("ALL|"&amp;fTbl12[[#This Row],[Field]],Ltbl[ind],0),-1)))</f>
        <v>0</v>
      </c>
      <c r="N16" t="str" cm="1">
        <f t="array" ref="N16">IF(fTbl12[[#This Row],[listlu]]&lt;1,"",IF(INDEX(Ltbl[Generic],fTbl12[[#This Row],[listlu]])="","",INDEX(Ltbl[Generic],fTbl12[[#This Row],[listlu]])))</f>
        <v/>
      </c>
      <c r="O16">
        <f>IF(AND(fTbl12[[#This Row],[listlu]],ISERROR(FIND(",",fTbl12[[#This Row],[liMatch]])),fTbl12[[#This Row],[liMatch]]&lt;&gt;""),1,0)</f>
        <v>0</v>
      </c>
      <c r="P16">
        <f>IF(AND(fTbl12[[#This Row],[LT]]="Ref",ISNA(MATCH(fTbl12[[#This Row],[Field]],rTbl[Ref],0))),1,0)</f>
        <v>0</v>
      </c>
      <c r="Q16"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HeadErrs|Errors|</v>
      </c>
      <c r="R16">
        <f ca="1">FIND("~",SUBSTITUTE(fTbl12[[#This Row],[Hierarchy]],"|","~",1))</f>
        <v>9</v>
      </c>
      <c r="S16">
        <f ca="1">FIND("~",SUBSTITUTE(fTbl12[[#This Row],[Hierarchy]],"|","~",2))</f>
        <v>16</v>
      </c>
      <c r="T16" cm="1">
        <f t="array" ref="T16">IF(fTbl12[[#This Row],[listlu]]=0,0,IF(INDEX(Ltbl[Context],fTbl12[[#This Row],[listlu]],1)="ALL",1,2))</f>
        <v>0</v>
      </c>
      <c r="U16" s="29"/>
    </row>
    <row r="17" spans="1:21">
      <c r="A17" s="15" t="s">
        <v>177</v>
      </c>
      <c r="B17" t="s">
        <v>191</v>
      </c>
      <c r="D17" s="1"/>
      <c r="E17" s="1"/>
      <c r="F17" s="1"/>
      <c r="G17" s="1"/>
      <c r="H17" s="1"/>
      <c r="I17" s="19"/>
      <c r="J17" s="28"/>
      <c r="K17" t="str">
        <f ca="1">IFERROR(IF(fTbl12[[#This Row],[LT]]="H",MID(fTbl12[[#This Row],[Hierarchy]],fTbl12[[#This Row],[pipe1]]+1,fTbl12[[#This Row],[pipe2]]-fTbl12[[#This Row],[pipe1]]-1),LEFT(fTbl12[[#This Row],[Hierarchy]],FIND("|",fTbl12[[#This Row],[Hierarchy]])-1)),"")</f>
        <v>Errors</v>
      </c>
      <c r="L17" s="1">
        <f ca="1">IF(ROW()=3,0,OFFSET(fTbl12[[#This Row],[Lev]],-1,0)+IF(OFFSET(fTbl12[[#This Row],[LT]],-1,0)="H",1,IF(fTbl12[[#This Row],[LT]]="!H",-1,0)))</f>
        <v>1</v>
      </c>
      <c r="M17">
        <f>IF(RIGHT(fTbl12[[#This Row],[valid]],4)&lt;&gt;"list",0,IFERROR(MATCH(fTbl12[[#This Row],[Context]]&amp;"|"&amp;fTbl12[[#This Row],[Field]],Ltbl[ind],0),IFERROR(MATCH("ALL|"&amp;fTbl12[[#This Row],[Field]],Ltbl[ind],0),-1)))</f>
        <v>0</v>
      </c>
      <c r="N17" t="str" cm="1">
        <f t="array" ref="N17">IF(fTbl12[[#This Row],[listlu]]&lt;1,"",IF(INDEX(Ltbl[Generic],fTbl12[[#This Row],[listlu]])="","",INDEX(Ltbl[Generic],fTbl12[[#This Row],[listlu]])))</f>
        <v/>
      </c>
      <c r="O17">
        <f>IF(AND(fTbl12[[#This Row],[listlu]],ISERROR(FIND(",",fTbl12[[#This Row],[liMatch]])),fTbl12[[#This Row],[liMatch]]&lt;&gt;""),1,0)</f>
        <v>0</v>
      </c>
      <c r="P17">
        <f>IF(AND(fTbl12[[#This Row],[LT]]="Ref",ISNA(MATCH(fTbl12[[#This Row],[Field]],rTbl[Ref],0))),1,0)</f>
        <v>0</v>
      </c>
      <c r="Q17"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Errors|</v>
      </c>
      <c r="R17">
        <f ca="1">FIND("~",SUBSTITUTE(fTbl12[[#This Row],[Hierarchy]],"|","~",1))</f>
        <v>7</v>
      </c>
      <c r="S17" t="e">
        <f ca="1">FIND("~",SUBSTITUTE(fTbl12[[#This Row],[Hierarchy]],"|","~",2))</f>
        <v>#VALUE!</v>
      </c>
      <c r="T17" cm="1">
        <f t="array" ref="T17">IF(fTbl12[[#This Row],[listlu]]=0,0,IF(INDEX(Ltbl[Context],fTbl12[[#This Row],[listlu]],1)="ALL",1,2))</f>
        <v>0</v>
      </c>
      <c r="U17" s="29"/>
    </row>
    <row r="18" spans="1:21">
      <c r="A18" s="15" t="s">
        <v>21</v>
      </c>
      <c r="B18" t="s">
        <v>198</v>
      </c>
      <c r="D18" s="1"/>
      <c r="E18" s="1">
        <v>0</v>
      </c>
      <c r="F18" s="1" t="s">
        <v>23</v>
      </c>
      <c r="G18" s="1"/>
      <c r="H18" s="1"/>
      <c r="I18" s="19" t="s">
        <v>145</v>
      </c>
      <c r="J18" s="28"/>
      <c r="K18" t="str">
        <f ca="1">IFERROR(IF(fTbl12[[#This Row],[LT]]="H",MID(fTbl12[[#This Row],[Hierarchy]],fTbl12[[#This Row],[pipe1]]+1,fTbl12[[#This Row],[pipe2]]-fTbl12[[#This Row],[pipe1]]-1),LEFT(fTbl12[[#This Row],[Hierarchy]],FIND("|",fTbl12[[#This Row],[Hierarchy]])-1)),"")</f>
        <v>Errors</v>
      </c>
      <c r="L18" s="1">
        <f ca="1">IF(ROW()=3,0,OFFSET(fTbl12[[#This Row],[Lev]],-1,0)+IF(OFFSET(fTbl12[[#This Row],[LT]],-1,0)="H",1,IF(fTbl12[[#This Row],[LT]]="!H",-1,0)))</f>
        <v>1</v>
      </c>
      <c r="M18">
        <f>IF(RIGHT(fTbl12[[#This Row],[valid]],4)&lt;&gt;"list",0,IFERROR(MATCH(fTbl12[[#This Row],[Context]]&amp;"|"&amp;fTbl12[[#This Row],[Field]],Ltbl[ind],0),IFERROR(MATCH("ALL|"&amp;fTbl12[[#This Row],[Field]],Ltbl[ind],0),-1)))</f>
        <v>0</v>
      </c>
      <c r="N18" t="str" cm="1">
        <f t="array" ref="N18">IF(fTbl12[[#This Row],[listlu]]&lt;1,"",IF(INDEX(Ltbl[Generic],fTbl12[[#This Row],[listlu]])="","",INDEX(Ltbl[Generic],fTbl12[[#This Row],[listlu]])))</f>
        <v/>
      </c>
      <c r="O18">
        <f>IF(AND(fTbl12[[#This Row],[listlu]],ISERROR(FIND(",",fTbl12[[#This Row],[liMatch]])),fTbl12[[#This Row],[liMatch]]&lt;&gt;""),1,0)</f>
        <v>0</v>
      </c>
      <c r="P18">
        <f>IF(AND(fTbl12[[#This Row],[LT]]="Ref",ISNA(MATCH(fTbl12[[#This Row],[Field]],rTbl[Ref],0))),1,0)</f>
        <v>0</v>
      </c>
      <c r="Q18"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OrderLines|Errors|</v>
      </c>
      <c r="R18">
        <f ca="1">FIND("~",SUBSTITUTE(fTbl12[[#This Row],[Hierarchy]],"|","~",1))</f>
        <v>11</v>
      </c>
      <c r="S18">
        <f ca="1">FIND("~",SUBSTITUTE(fTbl12[[#This Row],[Hierarchy]],"|","~",2))</f>
        <v>18</v>
      </c>
      <c r="T18" cm="1">
        <f t="array" ref="T18">IF(fTbl12[[#This Row],[listlu]]=0,0,IF(INDEX(Ltbl[Context],fTbl12[[#This Row],[listlu]],1)="ALL",1,2))</f>
        <v>0</v>
      </c>
      <c r="U18" s="29"/>
    </row>
    <row r="19" spans="1:21">
      <c r="A19" s="15" t="s">
        <v>28</v>
      </c>
      <c r="B19" t="s">
        <v>199</v>
      </c>
      <c r="C19" t="s">
        <v>84</v>
      </c>
      <c r="D19" s="1"/>
      <c r="E19" s="1">
        <v>1</v>
      </c>
      <c r="F19" s="1"/>
      <c r="G19" s="1"/>
      <c r="H19" s="1"/>
      <c r="I19" s="19"/>
      <c r="J19" s="28" t="s">
        <v>200</v>
      </c>
      <c r="K19" t="str">
        <f ca="1">IFERROR(IF(fTbl12[[#This Row],[LT]]="H",MID(fTbl12[[#This Row],[Hierarchy]],fTbl12[[#This Row],[pipe1]]+1,fTbl12[[#This Row],[pipe2]]-fTbl12[[#This Row],[pipe1]]-1),LEFT(fTbl12[[#This Row],[Hierarchy]],FIND("|",fTbl12[[#This Row],[Hierarchy]])-1)),"")</f>
        <v>OrderLines</v>
      </c>
      <c r="L19" s="1">
        <f ca="1">IF(ROW()=3,0,OFFSET(fTbl12[[#This Row],[Lev]],-1,0)+IF(OFFSET(fTbl12[[#This Row],[LT]],-1,0)="H",1,IF(fTbl12[[#This Row],[LT]]="!H",-1,0)))</f>
        <v>2</v>
      </c>
      <c r="M19">
        <f>IF(RIGHT(fTbl12[[#This Row],[valid]],4)&lt;&gt;"list",0,IFERROR(MATCH(fTbl12[[#This Row],[Context]]&amp;"|"&amp;fTbl12[[#This Row],[Field]],Ltbl[ind],0),IFERROR(MATCH("ALL|"&amp;fTbl12[[#This Row],[Field]],Ltbl[ind],0),-1)))</f>
        <v>0</v>
      </c>
      <c r="N19" t="str" cm="1">
        <f t="array" ref="N19">IF(fTbl12[[#This Row],[listlu]]&lt;1,"",IF(INDEX(Ltbl[Generic],fTbl12[[#This Row],[listlu]])="","",INDEX(Ltbl[Generic],fTbl12[[#This Row],[listlu]])))</f>
        <v/>
      </c>
      <c r="O19">
        <f>IF(AND(fTbl12[[#This Row],[listlu]],ISERROR(FIND(",",fTbl12[[#This Row],[liMatch]])),fTbl12[[#This Row],[liMatch]]&lt;&gt;""),1,0)</f>
        <v>0</v>
      </c>
      <c r="P19">
        <f>IF(AND(fTbl12[[#This Row],[LT]]="Ref",ISNA(MATCH(fTbl12[[#This Row],[Field]],rTbl[Ref],0))),1,0)</f>
        <v>0</v>
      </c>
      <c r="Q19"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OrderLines|Errors|</v>
      </c>
      <c r="R19">
        <f ca="1">FIND("~",SUBSTITUTE(fTbl12[[#This Row],[Hierarchy]],"|","~",1))</f>
        <v>11</v>
      </c>
      <c r="S19">
        <f ca="1">FIND("~",SUBSTITUTE(fTbl12[[#This Row],[Hierarchy]],"|","~",2))</f>
        <v>18</v>
      </c>
      <c r="T19" cm="1">
        <f t="array" ref="T19">IF(fTbl12[[#This Row],[listlu]]=0,0,IF(INDEX(Ltbl[Context],fTbl12[[#This Row],[listlu]],1)="ALL",1,2))</f>
        <v>0</v>
      </c>
      <c r="U19" s="29"/>
    </row>
    <row r="20" spans="1:21">
      <c r="A20" s="15" t="s">
        <v>28</v>
      </c>
      <c r="B20" t="s">
        <v>146</v>
      </c>
      <c r="C20" t="s">
        <v>84</v>
      </c>
      <c r="D20" s="1"/>
      <c r="E20" s="1">
        <v>1</v>
      </c>
      <c r="F20" s="1"/>
      <c r="G20" s="1"/>
      <c r="H20" s="1"/>
      <c r="I20" s="19" t="s">
        <v>147</v>
      </c>
      <c r="J20" s="28" t="s">
        <v>148</v>
      </c>
      <c r="K20" t="str">
        <f ca="1">IFERROR(IF(fTbl12[[#This Row],[LT]]="H",MID(fTbl12[[#This Row],[Hierarchy]],fTbl12[[#This Row],[pipe1]]+1,fTbl12[[#This Row],[pipe2]]-fTbl12[[#This Row],[pipe1]]-1),LEFT(fTbl12[[#This Row],[Hierarchy]],FIND("|",fTbl12[[#This Row],[Hierarchy]])-1)),"")</f>
        <v>OrderLines</v>
      </c>
      <c r="L20" s="1">
        <f ca="1">IF(ROW()=3,0,OFFSET(fTbl12[[#This Row],[Lev]],-1,0)+IF(OFFSET(fTbl12[[#This Row],[LT]],-1,0)="H",1,IF(fTbl12[[#This Row],[LT]]="!H",-1,0)))</f>
        <v>2</v>
      </c>
      <c r="M20">
        <f>IF(RIGHT(fTbl12[[#This Row],[valid]],4)&lt;&gt;"list",0,IFERROR(MATCH(fTbl12[[#This Row],[Context]]&amp;"|"&amp;fTbl12[[#This Row],[Field]],Ltbl[ind],0),IFERROR(MATCH("ALL|"&amp;fTbl12[[#This Row],[Field]],Ltbl[ind],0),-1)))</f>
        <v>0</v>
      </c>
      <c r="N20" t="str" cm="1">
        <f t="array" ref="N20">IF(fTbl12[[#This Row],[listlu]]&lt;1,"",IF(INDEX(Ltbl[Generic],fTbl12[[#This Row],[listlu]])="","",INDEX(Ltbl[Generic],fTbl12[[#This Row],[listlu]])))</f>
        <v/>
      </c>
      <c r="O20">
        <f>IF(AND(fTbl12[[#This Row],[listlu]],ISERROR(FIND(",",fTbl12[[#This Row],[liMatch]])),fTbl12[[#This Row],[liMatch]]&lt;&gt;""),1,0)</f>
        <v>0</v>
      </c>
      <c r="P20">
        <f>IF(AND(fTbl12[[#This Row],[LT]]="Ref",ISNA(MATCH(fTbl12[[#This Row],[Field]],rTbl[Ref],0))),1,0)</f>
        <v>0</v>
      </c>
      <c r="Q20"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OrderLines|Errors|</v>
      </c>
      <c r="R20">
        <f ca="1">FIND("~",SUBSTITUTE(fTbl12[[#This Row],[Hierarchy]],"|","~",1))</f>
        <v>11</v>
      </c>
      <c r="S20">
        <f ca="1">FIND("~",SUBSTITUTE(fTbl12[[#This Row],[Hierarchy]],"|","~",2))</f>
        <v>18</v>
      </c>
      <c r="T20" cm="1">
        <f t="array" ref="T20">IF(fTbl12[[#This Row],[listlu]]=0,0,IF(INDEX(Ltbl[Context],fTbl12[[#This Row],[listlu]],1)="ALL",1,2))</f>
        <v>0</v>
      </c>
      <c r="U20" s="29" t="s">
        <v>149</v>
      </c>
    </row>
    <row r="21" spans="1:21">
      <c r="A21" s="15" t="s">
        <v>28</v>
      </c>
      <c r="B21" t="s">
        <v>150</v>
      </c>
      <c r="C21" t="s">
        <v>84</v>
      </c>
      <c r="D21" s="1"/>
      <c r="E21" s="1">
        <v>0</v>
      </c>
      <c r="F21" s="1"/>
      <c r="G21" s="1"/>
      <c r="H21" s="1"/>
      <c r="I21" s="19" t="s">
        <v>151</v>
      </c>
      <c r="J21" s="28">
        <v>13</v>
      </c>
      <c r="K21" t="str">
        <f ca="1">IFERROR(IF(fTbl12[[#This Row],[LT]]="H",MID(fTbl12[[#This Row],[Hierarchy]],fTbl12[[#This Row],[pipe1]]+1,fTbl12[[#This Row],[pipe2]]-fTbl12[[#This Row],[pipe1]]-1),LEFT(fTbl12[[#This Row],[Hierarchy]],FIND("|",fTbl12[[#This Row],[Hierarchy]])-1)),"")</f>
        <v>OrderLines</v>
      </c>
      <c r="L21" s="1">
        <f ca="1">IF(ROW()=3,0,OFFSET(fTbl12[[#This Row],[Lev]],-1,0)+IF(OFFSET(fTbl12[[#This Row],[LT]],-1,0)="H",1,IF(fTbl12[[#This Row],[LT]]="!H",-1,0)))</f>
        <v>2</v>
      </c>
      <c r="M21">
        <f>IF(RIGHT(fTbl12[[#This Row],[valid]],4)&lt;&gt;"list",0,IFERROR(MATCH(fTbl12[[#This Row],[Context]]&amp;"|"&amp;fTbl12[[#This Row],[Field]],Ltbl[ind],0),IFERROR(MATCH("ALL|"&amp;fTbl12[[#This Row],[Field]],Ltbl[ind],0),-1)))</f>
        <v>0</v>
      </c>
      <c r="N21" t="str" cm="1">
        <f t="array" ref="N21">IF(fTbl12[[#This Row],[listlu]]&lt;1,"",IF(INDEX(Ltbl[Generic],fTbl12[[#This Row],[listlu]])="","",INDEX(Ltbl[Generic],fTbl12[[#This Row],[listlu]])))</f>
        <v/>
      </c>
      <c r="O21">
        <f>IF(AND(fTbl12[[#This Row],[listlu]],ISERROR(FIND(",",fTbl12[[#This Row],[liMatch]])),fTbl12[[#This Row],[liMatch]]&lt;&gt;""),1,0)</f>
        <v>0</v>
      </c>
      <c r="P21">
        <f>IF(AND(fTbl12[[#This Row],[LT]]="Ref",ISNA(MATCH(fTbl12[[#This Row],[Field]],rTbl[Ref],0))),1,0)</f>
        <v>0</v>
      </c>
      <c r="Q21"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OrderLines|Errors|</v>
      </c>
      <c r="R21">
        <f ca="1">FIND("~",SUBSTITUTE(fTbl12[[#This Row],[Hierarchy]],"|","~",1))</f>
        <v>11</v>
      </c>
      <c r="S21">
        <f ca="1">FIND("~",SUBSTITUTE(fTbl12[[#This Row],[Hierarchy]],"|","~",2))</f>
        <v>18</v>
      </c>
      <c r="T21" cm="1">
        <f t="array" ref="T21">IF(fTbl12[[#This Row],[listlu]]=0,0,IF(INDEX(Ltbl[Context],fTbl12[[#This Row],[listlu]],1)="ALL",1,2))</f>
        <v>0</v>
      </c>
      <c r="U21" s="29"/>
    </row>
    <row r="22" spans="1:21">
      <c r="A22" s="15" t="s">
        <v>21</v>
      </c>
      <c r="B22" t="s">
        <v>201</v>
      </c>
      <c r="D22" s="1"/>
      <c r="E22" s="1"/>
      <c r="F22" s="1"/>
      <c r="G22" s="1"/>
      <c r="H22" s="1"/>
      <c r="I22" s="19" t="s">
        <v>202</v>
      </c>
      <c r="J22" s="28"/>
      <c r="K22" t="str">
        <f ca="1">IFERROR(IF(fTbl12[[#This Row],[LT]]="H",MID(fTbl12[[#This Row],[Hierarchy]],fTbl12[[#This Row],[pipe1]]+1,fTbl12[[#This Row],[pipe2]]-fTbl12[[#This Row],[pipe1]]-1),LEFT(fTbl12[[#This Row],[Hierarchy]],FIND("|",fTbl12[[#This Row],[Hierarchy]])-1)),"")</f>
        <v>OrderLines</v>
      </c>
      <c r="L22" s="1">
        <f ca="1">IF(ROW()=3,0,OFFSET(fTbl12[[#This Row],[Lev]],-1,0)+IF(OFFSET(fTbl12[[#This Row],[LT]],-1,0)="H",1,IF(fTbl12[[#This Row],[LT]]="!H",-1,0)))</f>
        <v>2</v>
      </c>
      <c r="M22">
        <f>IF(RIGHT(fTbl12[[#This Row],[valid]],4)&lt;&gt;"list",0,IFERROR(MATCH(fTbl12[[#This Row],[Context]]&amp;"|"&amp;fTbl12[[#This Row],[Field]],Ltbl[ind],0),IFERROR(MATCH("ALL|"&amp;fTbl12[[#This Row],[Field]],Ltbl[ind],0),-1)))</f>
        <v>0</v>
      </c>
      <c r="N22" t="str" cm="1">
        <f t="array" ref="N22">IF(fTbl12[[#This Row],[listlu]]&lt;1,"",IF(INDEX(Ltbl[Generic],fTbl12[[#This Row],[listlu]])="","",INDEX(Ltbl[Generic],fTbl12[[#This Row],[listlu]])))</f>
        <v/>
      </c>
      <c r="O22">
        <f>IF(AND(fTbl12[[#This Row],[listlu]],ISERROR(FIND(",",fTbl12[[#This Row],[liMatch]])),fTbl12[[#This Row],[liMatch]]&lt;&gt;""),1,0)</f>
        <v>0</v>
      </c>
      <c r="P22">
        <f>IF(AND(fTbl12[[#This Row],[LT]]="Ref",ISNA(MATCH(fTbl12[[#This Row],[Field]],rTbl[Ref],0))),1,0)</f>
        <v>0</v>
      </c>
      <c r="Q22"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LineErrs|OrderLines|Errors|</v>
      </c>
      <c r="R22">
        <f ca="1">FIND("~",SUBSTITUTE(fTbl12[[#This Row],[Hierarchy]],"|","~",1))</f>
        <v>9</v>
      </c>
      <c r="S22">
        <f ca="1">FIND("~",SUBSTITUTE(fTbl12[[#This Row],[Hierarchy]],"|","~",2))</f>
        <v>20</v>
      </c>
      <c r="T22" cm="1">
        <f t="array" ref="T22">IF(fTbl12[[#This Row],[listlu]]=0,0,IF(INDEX(Ltbl[Context],fTbl12[[#This Row],[listlu]],1)="ALL",1,2))</f>
        <v>0</v>
      </c>
      <c r="U22" s="29"/>
    </row>
    <row r="23" spans="1:21">
      <c r="A23" s="15" t="s">
        <v>28</v>
      </c>
      <c r="B23" t="s">
        <v>193</v>
      </c>
      <c r="C23" t="s">
        <v>30</v>
      </c>
      <c r="D23" s="1">
        <v>5</v>
      </c>
      <c r="E23" s="1">
        <v>0</v>
      </c>
      <c r="F23" s="1"/>
      <c r="G23" s="1"/>
      <c r="H23" s="1" t="s">
        <v>31</v>
      </c>
      <c r="I23" s="19"/>
      <c r="J23" s="28" t="s">
        <v>194</v>
      </c>
      <c r="K23" t="str">
        <f ca="1">IFERROR(IF(fTbl12[[#This Row],[LT]]="H",MID(fTbl12[[#This Row],[Hierarchy]],fTbl12[[#This Row],[pipe1]]+1,fTbl12[[#This Row],[pipe2]]-fTbl12[[#This Row],[pipe1]]-1),LEFT(fTbl12[[#This Row],[Hierarchy]],FIND("|",fTbl12[[#This Row],[Hierarchy]])-1)),"")</f>
        <v>LineErrs</v>
      </c>
      <c r="L23" s="1">
        <f ca="1">IF(ROW()=3,0,OFFSET(fTbl12[[#This Row],[Lev]],-1,0)+IF(OFFSET(fTbl12[[#This Row],[LT]],-1,0)="H",1,IF(fTbl12[[#This Row],[LT]]="!H",-1,0)))</f>
        <v>3</v>
      </c>
      <c r="M23">
        <f ca="1">IF(RIGHT(fTbl12[[#This Row],[valid]],4)&lt;&gt;"list",0,IFERROR(MATCH(fTbl12[[#This Row],[Context]]&amp;"|"&amp;fTbl12[[#This Row],[Field]],Ltbl[ind],0),IFERROR(MATCH("ALL|"&amp;fTbl12[[#This Row],[Field]],Ltbl[ind],0),-1)))</f>
        <v>5</v>
      </c>
      <c r="N23" t="str" cm="1">
        <f t="array" aca="1" ref="N23" ca="1">IF(fTbl12[[#This Row],[listlu]]&lt;1,"",IF(INDEX(Ltbl[Generic],fTbl12[[#This Row],[listlu]])="","",INDEX(Ltbl[Generic],fTbl12[[#This Row],[listlu]])))</f>
        <v>LEN,MAND,FTYPE,ENUM,STOCK</v>
      </c>
      <c r="O23">
        <f ca="1">IF(AND(fTbl12[[#This Row],[listlu]],ISERROR(FIND(",",fTbl12[[#This Row],[liMatch]])),fTbl12[[#This Row],[liMatch]]&lt;&gt;""),1,0)</f>
        <v>0</v>
      </c>
      <c r="P23">
        <f>IF(AND(fTbl12[[#This Row],[LT]]="Ref",ISNA(MATCH(fTbl12[[#This Row],[Field]],rTbl[Ref],0))),1,0)</f>
        <v>0</v>
      </c>
      <c r="Q23"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LineErrs|OrderLines|Errors|</v>
      </c>
      <c r="R23">
        <f ca="1">FIND("~",SUBSTITUTE(fTbl12[[#This Row],[Hierarchy]],"|","~",1))</f>
        <v>9</v>
      </c>
      <c r="S23">
        <f ca="1">FIND("~",SUBSTITUTE(fTbl12[[#This Row],[Hierarchy]],"|","~",2))</f>
        <v>20</v>
      </c>
      <c r="T23" cm="1">
        <f t="array" aca="1" ref="T23" ca="1">IF(fTbl12[[#This Row],[listlu]]=0,0,IF(INDEX(Ltbl[Context],fTbl12[[#This Row],[listlu]],1)="ALL",1,2))</f>
        <v>1</v>
      </c>
      <c r="U23" s="29"/>
    </row>
    <row r="24" spans="1:21">
      <c r="A24" s="15" t="s">
        <v>28</v>
      </c>
      <c r="B24" t="s">
        <v>195</v>
      </c>
      <c r="C24" t="s">
        <v>30</v>
      </c>
      <c r="D24" s="1">
        <v>35</v>
      </c>
      <c r="E24" s="1">
        <v>0</v>
      </c>
      <c r="F24" s="1"/>
      <c r="G24" s="1"/>
      <c r="H24" s="1"/>
      <c r="I24" s="19"/>
      <c r="J24" s="28" t="s">
        <v>203</v>
      </c>
      <c r="K24" t="str">
        <f ca="1">IFERROR(IF(fTbl12[[#This Row],[LT]]="H",MID(fTbl12[[#This Row],[Hierarchy]],fTbl12[[#This Row],[pipe1]]+1,fTbl12[[#This Row],[pipe2]]-fTbl12[[#This Row],[pipe1]]-1),LEFT(fTbl12[[#This Row],[Hierarchy]],FIND("|",fTbl12[[#This Row],[Hierarchy]])-1)),"")</f>
        <v>LineErrs</v>
      </c>
      <c r="L24" s="1">
        <f ca="1">IF(ROW()=3,0,OFFSET(fTbl12[[#This Row],[Lev]],-1,0)+IF(OFFSET(fTbl12[[#This Row],[LT]],-1,0)="H",1,IF(fTbl12[[#This Row],[LT]]="!H",-1,0)))</f>
        <v>3</v>
      </c>
      <c r="M24">
        <f>IF(RIGHT(fTbl12[[#This Row],[valid]],4)&lt;&gt;"list",0,IFERROR(MATCH(fTbl12[[#This Row],[Context]]&amp;"|"&amp;fTbl12[[#This Row],[Field]],Ltbl[ind],0),IFERROR(MATCH("ALL|"&amp;fTbl12[[#This Row],[Field]],Ltbl[ind],0),-1)))</f>
        <v>0</v>
      </c>
      <c r="N24" t="str" cm="1">
        <f t="array" ref="N24">IF(fTbl12[[#This Row],[listlu]]&lt;1,"",IF(INDEX(Ltbl[Generic],fTbl12[[#This Row],[listlu]])="","",INDEX(Ltbl[Generic],fTbl12[[#This Row],[listlu]])))</f>
        <v/>
      </c>
      <c r="O24">
        <f>IF(AND(fTbl12[[#This Row],[listlu]],ISERROR(FIND(",",fTbl12[[#This Row],[liMatch]])),fTbl12[[#This Row],[liMatch]]&lt;&gt;""),1,0)</f>
        <v>0</v>
      </c>
      <c r="P24">
        <f>IF(AND(fTbl12[[#This Row],[LT]]="Ref",ISNA(MATCH(fTbl12[[#This Row],[Field]],rTbl[Ref],0))),1,0)</f>
        <v>0</v>
      </c>
      <c r="Q24"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LineErrs|OrderLines|Errors|</v>
      </c>
      <c r="R24">
        <f ca="1">FIND("~",SUBSTITUTE(fTbl12[[#This Row],[Hierarchy]],"|","~",1))</f>
        <v>9</v>
      </c>
      <c r="S24">
        <f ca="1">FIND("~",SUBSTITUTE(fTbl12[[#This Row],[Hierarchy]],"|","~",2))</f>
        <v>20</v>
      </c>
      <c r="T24" cm="1">
        <f t="array" ref="T24">IF(fTbl12[[#This Row],[listlu]]=0,0,IF(INDEX(Ltbl[Context],fTbl12[[#This Row],[listlu]],1)="ALL",1,2))</f>
        <v>0</v>
      </c>
      <c r="U24" s="29"/>
    </row>
    <row r="25" spans="1:21">
      <c r="A25" s="15" t="s">
        <v>28</v>
      </c>
      <c r="B25" t="s">
        <v>196</v>
      </c>
      <c r="C25" t="s">
        <v>30</v>
      </c>
      <c r="D25" s="1">
        <v>250</v>
      </c>
      <c r="E25" s="1">
        <v>0</v>
      </c>
      <c r="F25" s="1"/>
      <c r="G25" s="1"/>
      <c r="H25" s="1"/>
      <c r="I25" s="19"/>
      <c r="J25" s="28" t="s">
        <v>204</v>
      </c>
      <c r="K25" t="str">
        <f ca="1">IFERROR(IF(fTbl12[[#This Row],[LT]]="H",MID(fTbl12[[#This Row],[Hierarchy]],fTbl12[[#This Row],[pipe1]]+1,fTbl12[[#This Row],[pipe2]]-fTbl12[[#This Row],[pipe1]]-1),LEFT(fTbl12[[#This Row],[Hierarchy]],FIND("|",fTbl12[[#This Row],[Hierarchy]])-1)),"")</f>
        <v>LineErrs</v>
      </c>
      <c r="L25" s="1">
        <f ca="1">IF(ROW()=3,0,OFFSET(fTbl12[[#This Row],[Lev]],-1,0)+IF(OFFSET(fTbl12[[#This Row],[LT]],-1,0)="H",1,IF(fTbl12[[#This Row],[LT]]="!H",-1,0)))</f>
        <v>3</v>
      </c>
      <c r="M25">
        <f>IF(RIGHT(fTbl12[[#This Row],[valid]],4)&lt;&gt;"list",0,IFERROR(MATCH(fTbl12[[#This Row],[Context]]&amp;"|"&amp;fTbl12[[#This Row],[Field]],Ltbl[ind],0),IFERROR(MATCH("ALL|"&amp;fTbl12[[#This Row],[Field]],Ltbl[ind],0),-1)))</f>
        <v>0</v>
      </c>
      <c r="N25" t="str" cm="1">
        <f t="array" ref="N25">IF(fTbl12[[#This Row],[listlu]]&lt;1,"",IF(INDEX(Ltbl[Generic],fTbl12[[#This Row],[listlu]])="","",INDEX(Ltbl[Generic],fTbl12[[#This Row],[listlu]])))</f>
        <v/>
      </c>
      <c r="O25">
        <f>IF(AND(fTbl12[[#This Row],[listlu]],ISERROR(FIND(",",fTbl12[[#This Row],[liMatch]])),fTbl12[[#This Row],[liMatch]]&lt;&gt;""),1,0)</f>
        <v>0</v>
      </c>
      <c r="P25">
        <f>IF(AND(fTbl12[[#This Row],[LT]]="Ref",ISNA(MATCH(fTbl12[[#This Row],[Field]],rTbl[Ref],0))),1,0)</f>
        <v>0</v>
      </c>
      <c r="Q25"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LineErrs|OrderLines|Errors|</v>
      </c>
      <c r="R25">
        <f ca="1">FIND("~",SUBSTITUTE(fTbl12[[#This Row],[Hierarchy]],"|","~",1))</f>
        <v>9</v>
      </c>
      <c r="S25">
        <f ca="1">FIND("~",SUBSTITUTE(fTbl12[[#This Row],[Hierarchy]],"|","~",2))</f>
        <v>20</v>
      </c>
      <c r="T25" cm="1">
        <f t="array" ref="T25">IF(fTbl12[[#This Row],[listlu]]=0,0,IF(INDEX(Ltbl[Context],fTbl12[[#This Row],[listlu]],1)="ALL",1,2))</f>
        <v>0</v>
      </c>
      <c r="U25" s="29"/>
    </row>
    <row r="26" spans="1:21">
      <c r="A26" s="15" t="s">
        <v>177</v>
      </c>
      <c r="B26" t="s">
        <v>201</v>
      </c>
      <c r="D26" s="1"/>
      <c r="E26" s="1"/>
      <c r="F26" s="1"/>
      <c r="G26" s="1"/>
      <c r="H26" s="1"/>
      <c r="I26" s="19"/>
      <c r="J26" s="28"/>
      <c r="K26" t="str">
        <f ca="1">IFERROR(IF(fTbl12[[#This Row],[LT]]="H",MID(fTbl12[[#This Row],[Hierarchy]],fTbl12[[#This Row],[pipe1]]+1,fTbl12[[#This Row],[pipe2]]-fTbl12[[#This Row],[pipe1]]-1),LEFT(fTbl12[[#This Row],[Hierarchy]],FIND("|",fTbl12[[#This Row],[Hierarchy]])-1)),"")</f>
        <v>OrderLines</v>
      </c>
      <c r="L26" s="1">
        <f ca="1">IF(ROW()=3,0,OFFSET(fTbl12[[#This Row],[Lev]],-1,0)+IF(OFFSET(fTbl12[[#This Row],[LT]],-1,0)="H",1,IF(fTbl12[[#This Row],[LT]]="!H",-1,0)))</f>
        <v>2</v>
      </c>
      <c r="M26">
        <f>IF(RIGHT(fTbl12[[#This Row],[valid]],4)&lt;&gt;"list",0,IFERROR(MATCH(fTbl12[[#This Row],[Context]]&amp;"|"&amp;fTbl12[[#This Row],[Field]],Ltbl[ind],0),IFERROR(MATCH("ALL|"&amp;fTbl12[[#This Row],[Field]],Ltbl[ind],0),-1)))</f>
        <v>0</v>
      </c>
      <c r="N26" t="str" cm="1">
        <f t="array" ref="N26">IF(fTbl12[[#This Row],[listlu]]&lt;1,"",IF(INDEX(Ltbl[Generic],fTbl12[[#This Row],[listlu]])="","",INDEX(Ltbl[Generic],fTbl12[[#This Row],[listlu]])))</f>
        <v/>
      </c>
      <c r="O26">
        <f>IF(AND(fTbl12[[#This Row],[listlu]],ISERROR(FIND(",",fTbl12[[#This Row],[liMatch]])),fTbl12[[#This Row],[liMatch]]&lt;&gt;""),1,0)</f>
        <v>0</v>
      </c>
      <c r="P26">
        <f>IF(AND(fTbl12[[#This Row],[LT]]="Ref",ISNA(MATCH(fTbl12[[#This Row],[Field]],rTbl[Ref],0))),1,0)</f>
        <v>0</v>
      </c>
      <c r="Q26"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OrderLines|Errors|</v>
      </c>
      <c r="R26">
        <f ca="1">FIND("~",SUBSTITUTE(fTbl12[[#This Row],[Hierarchy]],"|","~",1))</f>
        <v>11</v>
      </c>
      <c r="S26">
        <f ca="1">FIND("~",SUBSTITUTE(fTbl12[[#This Row],[Hierarchy]],"|","~",2))</f>
        <v>18</v>
      </c>
      <c r="T26" cm="1">
        <f t="array" ref="T26">IF(fTbl12[[#This Row],[listlu]]=0,0,IF(INDEX(Ltbl[Context],fTbl12[[#This Row],[listlu]],1)="ALL",1,2))</f>
        <v>0</v>
      </c>
      <c r="U26" s="29"/>
    </row>
    <row r="27" spans="1:21">
      <c r="A27" s="15" t="s">
        <v>177</v>
      </c>
      <c r="B27" t="s">
        <v>198</v>
      </c>
      <c r="D27" s="1"/>
      <c r="E27" s="1"/>
      <c r="F27" s="1"/>
      <c r="G27" s="1"/>
      <c r="H27" s="1"/>
      <c r="I27" s="19"/>
      <c r="J27" s="28"/>
      <c r="K27" t="str">
        <f ca="1">IFERROR(IF(fTbl12[[#This Row],[LT]]="H",MID(fTbl12[[#This Row],[Hierarchy]],fTbl12[[#This Row],[pipe1]]+1,fTbl12[[#This Row],[pipe2]]-fTbl12[[#This Row],[pipe1]]-1),LEFT(fTbl12[[#This Row],[Hierarchy]],FIND("|",fTbl12[[#This Row],[Hierarchy]])-1)),"")</f>
        <v>Errors</v>
      </c>
      <c r="L27" s="1">
        <f ca="1">IF(ROW()=3,0,OFFSET(fTbl12[[#This Row],[Lev]],-1,0)+IF(OFFSET(fTbl12[[#This Row],[LT]],-1,0)="H",1,IF(fTbl12[[#This Row],[LT]]="!H",-1,0)))</f>
        <v>1</v>
      </c>
      <c r="M27">
        <f>IF(RIGHT(fTbl12[[#This Row],[valid]],4)&lt;&gt;"list",0,IFERROR(MATCH(fTbl12[[#This Row],[Context]]&amp;"|"&amp;fTbl12[[#This Row],[Field]],Ltbl[ind],0),IFERROR(MATCH("ALL|"&amp;fTbl12[[#This Row],[Field]],Ltbl[ind],0),-1)))</f>
        <v>0</v>
      </c>
      <c r="N27" t="str" cm="1">
        <f t="array" ref="N27">IF(fTbl12[[#This Row],[listlu]]&lt;1,"",IF(INDEX(Ltbl[Generic],fTbl12[[#This Row],[listlu]])="","",INDEX(Ltbl[Generic],fTbl12[[#This Row],[listlu]])))</f>
        <v/>
      </c>
      <c r="O27">
        <f>IF(AND(fTbl12[[#This Row],[listlu]],ISERROR(FIND(",",fTbl12[[#This Row],[liMatch]])),fTbl12[[#This Row],[liMatch]]&lt;&gt;""),1,0)</f>
        <v>0</v>
      </c>
      <c r="P27">
        <f>IF(AND(fTbl12[[#This Row],[LT]]="Ref",ISNA(MATCH(fTbl12[[#This Row],[Field]],rTbl[Ref],0))),1,0)</f>
        <v>0</v>
      </c>
      <c r="Q27"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Errors|</v>
      </c>
      <c r="R27">
        <f ca="1">FIND("~",SUBSTITUTE(fTbl12[[#This Row],[Hierarchy]],"|","~",1))</f>
        <v>7</v>
      </c>
      <c r="S27" t="e">
        <f ca="1">FIND("~",SUBSTITUTE(fTbl12[[#This Row],[Hierarchy]],"|","~",2))</f>
        <v>#VALUE!</v>
      </c>
      <c r="T27" cm="1">
        <f t="array" ref="T27">IF(fTbl12[[#This Row],[listlu]]=0,0,IF(INDEX(Ltbl[Context],fTbl12[[#This Row],[listlu]],1)="ALL",1,2))</f>
        <v>0</v>
      </c>
      <c r="U27" s="29"/>
    </row>
    <row r="28" spans="1:21">
      <c r="A28" s="15" t="s">
        <v>177</v>
      </c>
      <c r="B28" t="s">
        <v>178</v>
      </c>
      <c r="D28" s="1"/>
      <c r="E28" s="1"/>
      <c r="F28" s="1"/>
      <c r="G28" s="1"/>
      <c r="H28" s="1"/>
      <c r="I28" s="19"/>
      <c r="J28" s="28"/>
      <c r="K28" t="str">
        <f ca="1">IFERROR(IF(fTbl12[[#This Row],[LT]]="H",MID(fTbl12[[#This Row],[Hierarchy]],fTbl12[[#This Row],[pipe1]]+1,fTbl12[[#This Row],[pipe2]]-fTbl12[[#This Row],[pipe1]]-1),LEFT(fTbl12[[#This Row],[Hierarchy]],FIND("|",fTbl12[[#This Row],[Hierarchy]])-1)),"")</f>
        <v/>
      </c>
      <c r="L28" s="1">
        <f ca="1">IF(ROW()=3,0,OFFSET(fTbl12[[#This Row],[Lev]],-1,0)+IF(OFFSET(fTbl12[[#This Row],[LT]],-1,0)="H",1,IF(fTbl12[[#This Row],[LT]]="!H",-1,0)))</f>
        <v>0</v>
      </c>
      <c r="M28">
        <f>IF(RIGHT(fTbl12[[#This Row],[valid]],4)&lt;&gt;"list",0,IFERROR(MATCH(fTbl12[[#This Row],[Context]]&amp;"|"&amp;fTbl12[[#This Row],[Field]],Ltbl[ind],0),IFERROR(MATCH("ALL|"&amp;fTbl12[[#This Row],[Field]],Ltbl[ind],0),-1)))</f>
        <v>0</v>
      </c>
      <c r="N28" t="str" cm="1">
        <f t="array" ref="N28">IF(fTbl12[[#This Row],[listlu]]&lt;1,"",IF(INDEX(Ltbl[Generic],fTbl12[[#This Row],[listlu]])="","",INDEX(Ltbl[Generic],fTbl12[[#This Row],[listlu]])))</f>
        <v/>
      </c>
      <c r="O28">
        <f>IF(AND(fTbl12[[#This Row],[listlu]],ISERROR(FIND(",",fTbl12[[#This Row],[liMatch]])),fTbl12[[#This Row],[liMatch]]&lt;&gt;""),1,0)</f>
        <v>0</v>
      </c>
      <c r="P28">
        <f>IF(AND(fTbl12[[#This Row],[LT]]="Ref",ISNA(MATCH(fTbl12[[#This Row],[Field]],rTbl[Ref],0))),1,0)</f>
        <v>0</v>
      </c>
      <c r="Q28" t="str">
        <f ca="1">IF(ROW()=3,IF(fTbl12[[#This Row],[LT]]="H",fTbl12[[#This Row],[Field]]&amp;"|","|"),IF(fTbl12[[#This Row],[LT]]="H",fTbl12[[#This Row],[Field]]&amp;"|"&amp;OFFSET(fTbl12[[#This Row],[Hierarchy]],-1,0),IF(fTbl12[[#This Row],[LT]]&lt;&gt;"!H",OFFSET(fTbl12[[#This Row],[Hierarchy]],-1,0),RIGHT(OFFSET(fTbl12[[#This Row],[Hierarchy]],-1,0),LEN(OFFSET(fTbl12[[#This Row],[Hierarchy]],-1,0))-LEN(fTbl12[[#This Row],[Field]])-1))))</f>
        <v/>
      </c>
      <c r="R28" t="e">
        <f ca="1">FIND("~",SUBSTITUTE(fTbl12[[#This Row],[Hierarchy]],"|","~",1))</f>
        <v>#VALUE!</v>
      </c>
      <c r="S28" t="e">
        <f ca="1">FIND("~",SUBSTITUTE(fTbl12[[#This Row],[Hierarchy]],"|","~",2))</f>
        <v>#VALUE!</v>
      </c>
      <c r="T28" cm="1">
        <f t="array" ref="T28">IF(fTbl12[[#This Row],[listlu]]=0,0,IF(INDEX(Ltbl[Context],fTbl12[[#This Row],[listlu]],1)="ALL",1,2))</f>
        <v>0</v>
      </c>
      <c r="U28" s="29"/>
    </row>
  </sheetData>
  <conditionalFormatting sqref="A3:L28">
    <cfRule type="expression" dxfId="481" priority="11">
      <formula>($A3="!H")</formula>
    </cfRule>
    <cfRule type="expression" dxfId="480" priority="12">
      <formula>($A3="REF")</formula>
    </cfRule>
    <cfRule type="expression" dxfId="479" priority="13">
      <formula>($A3="C")</formula>
    </cfRule>
    <cfRule type="expression" dxfId="478" priority="14">
      <formula>($A3="H")</formula>
    </cfRule>
  </conditionalFormatting>
  <conditionalFormatting sqref="I1">
    <cfRule type="cellIs" dxfId="477" priority="6" operator="greaterThan">
      <formula>"@"</formula>
    </cfRule>
  </conditionalFormatting>
  <conditionalFormatting sqref="K3:K28">
    <cfRule type="expression" dxfId="476" priority="9">
      <formula>($A3="C")</formula>
    </cfRule>
    <cfRule type="expression" dxfId="475" priority="10">
      <formula>($A3="")</formula>
    </cfRule>
  </conditionalFormatting>
  <conditionalFormatting sqref="A3:A28">
    <cfRule type="expression" dxfId="474" priority="8">
      <formula>NOT(OR(A3="",A3="H",A3="E",A3="C",A3="!H",A3="Ref"))</formula>
    </cfRule>
  </conditionalFormatting>
  <conditionalFormatting sqref="H3:H28 J3:J28">
    <cfRule type="expression" dxfId="473" priority="7">
      <formula>($O3)</formula>
    </cfRule>
  </conditionalFormatting>
  <conditionalFormatting sqref="H3:H28">
    <cfRule type="expression" dxfId="472" priority="15">
      <formula>AND($M3&gt;0,$N3&lt;&gt;$J3)</formula>
    </cfRule>
    <cfRule type="expression" dxfId="471" priority="16">
      <formula>AND($M3&gt;0,$N3=$J3)</formula>
    </cfRule>
    <cfRule type="expression" dxfId="470" priority="17">
      <formula>($M3=-1)</formula>
    </cfRule>
  </conditionalFormatting>
  <conditionalFormatting sqref="J3:J28">
    <cfRule type="expression" dxfId="469" priority="2">
      <formula>AND(M3&gt;0,N3&lt;&gt;J3)</formula>
    </cfRule>
    <cfRule type="expression" dxfId="468" priority="18">
      <formula>AND($A3="E",$E3&lt;&gt;1)</formula>
    </cfRule>
  </conditionalFormatting>
  <conditionalFormatting sqref="B3:B28">
    <cfRule type="expression" dxfId="467" priority="1">
      <formula>$P3</formula>
    </cfRule>
    <cfRule type="expression" dxfId="466" priority="5">
      <formula>AND($A3="!H",$B3&lt;&gt;OFFSET($K3,-1,0))</formula>
    </cfRule>
    <cfRule type="expression" dxfId="465" priority="19">
      <formula>AND($A3="E",$E3=1)</formula>
    </cfRule>
  </conditionalFormatting>
  <conditionalFormatting sqref="G3:G28">
    <cfRule type="expression" dxfId="464" priority="3">
      <formula>($T3=2)</formula>
    </cfRule>
    <cfRule type="expression" dxfId="463" priority="4">
      <formula>($T3=1)</formula>
    </cfRule>
  </conditionalFormatting>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B62DE-145E-4992-8305-BBAF7E6CE694}">
  <sheetPr codeName="Sheet16">
    <tabColor rgb="FF92D050"/>
  </sheetPr>
  <dimension ref="A1:U36"/>
  <sheetViews>
    <sheetView topLeftCell="A4" workbookViewId="0">
      <selection activeCell="C37" sqref="C37"/>
    </sheetView>
  </sheetViews>
  <sheetFormatPr defaultRowHeight="15"/>
  <cols>
    <col min="1" max="1" width="5" customWidth="1"/>
    <col min="2" max="2" width="23" customWidth="1"/>
    <col min="4" max="4" width="6.42578125" customWidth="1"/>
    <col min="5" max="6" width="4.7109375" customWidth="1"/>
    <col min="7" max="7" width="1" customWidth="1"/>
    <col min="8" max="8" width="10.140625" customWidth="1"/>
    <col min="9" max="9" width="56.7109375" customWidth="1"/>
    <col min="10" max="10" width="43.5703125" customWidth="1"/>
    <col min="11" max="11" width="13.42578125" customWidth="1"/>
    <col min="12" max="12" width="5.5703125" customWidth="1"/>
    <col min="13" max="16" width="9.140625" hidden="1" customWidth="1"/>
    <col min="17" max="17" width="27.7109375" hidden="1" customWidth="1"/>
    <col min="18" max="20" width="9.140625" hidden="1" customWidth="1"/>
    <col min="21" max="21" width="58.42578125" customWidth="1"/>
  </cols>
  <sheetData>
    <row r="1" spans="1:21" ht="25.5" customHeight="1">
      <c r="I1" s="16" t="str">
        <f>IF(COUNTIFS(fTbl14[LT],"H")&lt;&gt;COUNTIFS(fTbl14[LT],"!H"),"Header imbalance # H &lt;&gt; # !H","")</f>
        <v/>
      </c>
    </row>
    <row r="2" spans="1:21">
      <c r="A2" s="14" t="s">
        <v>0</v>
      </c>
      <c r="B2" s="11" t="s">
        <v>1</v>
      </c>
      <c r="C2" s="11" t="s">
        <v>2</v>
      </c>
      <c r="D2" s="12" t="s">
        <v>3</v>
      </c>
      <c r="E2" s="12" t="s">
        <v>4</v>
      </c>
      <c r="F2" s="12" t="s">
        <v>5</v>
      </c>
      <c r="G2" s="12" t="s">
        <v>6</v>
      </c>
      <c r="H2" s="12" t="s">
        <v>7</v>
      </c>
      <c r="I2" s="18" t="s">
        <v>8</v>
      </c>
      <c r="J2" s="17" t="s">
        <v>9</v>
      </c>
      <c r="K2" s="30" t="s">
        <v>10</v>
      </c>
      <c r="L2" s="31" t="s">
        <v>11</v>
      </c>
      <c r="M2" s="13" t="s">
        <v>12</v>
      </c>
      <c r="N2" s="13" t="s">
        <v>13</v>
      </c>
      <c r="O2" s="13" t="s">
        <v>14</v>
      </c>
      <c r="P2" s="13" t="s">
        <v>15</v>
      </c>
      <c r="Q2" s="13" t="s">
        <v>16</v>
      </c>
      <c r="R2" s="13" t="s">
        <v>17</v>
      </c>
      <c r="S2" s="13" t="s">
        <v>18</v>
      </c>
      <c r="T2" s="13" t="s">
        <v>19</v>
      </c>
      <c r="U2" s="13" t="s">
        <v>20</v>
      </c>
    </row>
    <row r="3" spans="1:21">
      <c r="A3" s="15" t="s">
        <v>21</v>
      </c>
      <c r="B3" t="s">
        <v>205</v>
      </c>
      <c r="D3" s="1"/>
      <c r="E3" s="1">
        <v>1</v>
      </c>
      <c r="F3" s="1" t="s">
        <v>23</v>
      </c>
      <c r="G3" s="1"/>
      <c r="H3" s="1"/>
      <c r="I3" s="19" t="s">
        <v>24</v>
      </c>
      <c r="J3" s="28"/>
      <c r="K3" t="str">
        <f ca="1">IFERROR(IF(fTbl14[[#This Row],[LT]]="H",MID(fTbl14[[#This Row],[Hierarchy]],fTbl14[[#This Row],[pipe1]]+1,fTbl14[[#This Row],[pipe2]]-fTbl14[[#This Row],[pipe1]]-1),LEFT(fTbl14[[#This Row],[Hierarchy]],FIND("|",fTbl14[[#This Row],[Hierarchy]])-1)),"")</f>
        <v/>
      </c>
      <c r="L3" s="1">
        <f ca="1">IF(ROW()=3,0,OFFSET(fTbl14[[#This Row],[Lev]],-1,0)+IF(OFFSET(fTbl14[[#This Row],[LT]],-1,0)="H",1,IF(fTbl14[[#This Row],[LT]]="!H",-1,0)))</f>
        <v>0</v>
      </c>
      <c r="M3">
        <f>IF(RIGHT(fTbl14[[#This Row],[valid]],4)&lt;&gt;"list",0,IFERROR(MATCH(fTbl14[[#This Row],[Context]]&amp;"|"&amp;fTbl14[[#This Row],[Field]],Ltbl[ind],0),IFERROR(MATCH("ALL|"&amp;fTbl14[[#This Row],[Field]],Ltbl[ind],0),-1)))</f>
        <v>0</v>
      </c>
      <c r="N3" t="str" cm="1">
        <f t="array" ref="N3">IF(fTbl14[[#This Row],[listlu]]&lt;1,"",IF(INDEX(Ltbl[Generic],fTbl14[[#This Row],[listlu]])="","",INDEX(Ltbl[Generic],fTbl14[[#This Row],[listlu]])))</f>
        <v/>
      </c>
      <c r="O3">
        <f>IF(AND(fTbl14[[#This Row],[listlu]],ISERROR(FIND(",",fTbl14[[#This Row],[liMatch]])),fTbl14[[#This Row],[liMatch]]&lt;&gt;""),1,0)</f>
        <v>0</v>
      </c>
      <c r="P3">
        <f>IF(AND(fTbl14[[#This Row],[LT]]="Ref",ISNA(MATCH(fTbl14[[#This Row],[Field]],rTbl[Ref],0))),1,0)</f>
        <v>0</v>
      </c>
      <c r="Q3"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3">
        <f ca="1">FIND("~",SUBSTITUTE(fTbl14[[#This Row],[Hierarchy]],"|","~",1))</f>
        <v>8</v>
      </c>
      <c r="S3" t="e">
        <f ca="1">FIND("~",SUBSTITUTE(fTbl14[[#This Row],[Hierarchy]],"|","~",2))</f>
        <v>#VALUE!</v>
      </c>
      <c r="T3" cm="1">
        <f t="array" ref="T3">IF(fTbl14[[#This Row],[listlu]]=0,0,IF(INDEX(Ltbl[Context],fTbl14[[#This Row],[listlu]],1)="ALL",1,2))</f>
        <v>0</v>
      </c>
      <c r="U3" s="29"/>
    </row>
    <row r="4" spans="1:21">
      <c r="A4" s="15" t="s">
        <v>25</v>
      </c>
      <c r="B4" t="s">
        <v>26</v>
      </c>
      <c r="D4" s="1"/>
      <c r="E4" s="1"/>
      <c r="F4" s="1"/>
      <c r="G4" s="1"/>
      <c r="H4" s="1"/>
      <c r="I4" s="19" t="s">
        <v>27</v>
      </c>
      <c r="J4" s="28"/>
      <c r="K4" t="str">
        <f ca="1">IFERROR(IF(fTbl14[[#This Row],[LT]]="H",MID(fTbl14[[#This Row],[Hierarchy]],fTbl14[[#This Row],[pipe1]]+1,fTbl14[[#This Row],[pipe2]]-fTbl14[[#This Row],[pipe1]]-1),LEFT(fTbl14[[#This Row],[Hierarchy]],FIND("|",fTbl14[[#This Row],[Hierarchy]])-1)),"")</f>
        <v>wOrders</v>
      </c>
      <c r="L4" s="1">
        <f ca="1">IF(ROW()=3,0,OFFSET(fTbl14[[#This Row],[Lev]],-1,0)+IF(OFFSET(fTbl14[[#This Row],[LT]],-1,0)="H",1,IF(fTbl14[[#This Row],[LT]]="!H",-1,0)))</f>
        <v>1</v>
      </c>
      <c r="M4">
        <f>IF(RIGHT(fTbl14[[#This Row],[valid]],4)&lt;&gt;"list",0,IFERROR(MATCH(fTbl14[[#This Row],[Context]]&amp;"|"&amp;fTbl14[[#This Row],[Field]],Ltbl[ind],0),IFERROR(MATCH("ALL|"&amp;fTbl14[[#This Row],[Field]],Ltbl[ind],0),-1)))</f>
        <v>0</v>
      </c>
      <c r="N4" t="str" cm="1">
        <f t="array" ref="N4">IF(fTbl14[[#This Row],[listlu]]&lt;1,"",IF(INDEX(Ltbl[Generic],fTbl14[[#This Row],[listlu]])="","",INDEX(Ltbl[Generic],fTbl14[[#This Row],[listlu]])))</f>
        <v/>
      </c>
      <c r="O4">
        <f>IF(AND(fTbl14[[#This Row],[listlu]],ISERROR(FIND(",",fTbl14[[#This Row],[liMatch]])),fTbl14[[#This Row],[liMatch]]&lt;&gt;""),1,0)</f>
        <v>0</v>
      </c>
      <c r="P4">
        <f>IF(AND(fTbl14[[#This Row],[LT]]="Ref",ISNA(MATCH(fTbl14[[#This Row],[Field]],rTbl[Ref],0))),1,0)</f>
        <v>0</v>
      </c>
      <c r="Q4"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4">
        <f ca="1">FIND("~",SUBSTITUTE(fTbl14[[#This Row],[Hierarchy]],"|","~",1))</f>
        <v>8</v>
      </c>
      <c r="S4" t="e">
        <f ca="1">FIND("~",SUBSTITUTE(fTbl14[[#This Row],[Hierarchy]],"|","~",2))</f>
        <v>#VALUE!</v>
      </c>
      <c r="T4" cm="1">
        <f t="array" ref="T4">IF(fTbl14[[#This Row],[listlu]]=0,0,IF(INDEX(Ltbl[Context],fTbl14[[#This Row],[listlu]],1)="ALL",1,2))</f>
        <v>0</v>
      </c>
      <c r="U4" s="29"/>
    </row>
    <row r="5" spans="1:21">
      <c r="A5" s="15" t="s">
        <v>28</v>
      </c>
      <c r="B5" t="s">
        <v>29</v>
      </c>
      <c r="C5" t="s">
        <v>30</v>
      </c>
      <c r="D5" s="1">
        <v>15</v>
      </c>
      <c r="E5" s="1">
        <v>1</v>
      </c>
      <c r="F5" s="1"/>
      <c r="G5" s="1"/>
      <c r="H5" s="1" t="s">
        <v>31</v>
      </c>
      <c r="I5" s="19" t="s">
        <v>32</v>
      </c>
      <c r="J5" s="28" t="s">
        <v>33</v>
      </c>
      <c r="K5" t="str">
        <f ca="1">IFERROR(IF(fTbl14[[#This Row],[LT]]="H",MID(fTbl14[[#This Row],[Hierarchy]],fTbl14[[#This Row],[pipe1]]+1,fTbl14[[#This Row],[pipe2]]-fTbl14[[#This Row],[pipe1]]-1),LEFT(fTbl14[[#This Row],[Hierarchy]],FIND("|",fTbl14[[#This Row],[Hierarchy]])-1)),"")</f>
        <v>wOrders</v>
      </c>
      <c r="L5" s="1">
        <f ca="1">IF(ROW()=3,0,OFFSET(fTbl14[[#This Row],[Lev]],-1,0)+IF(OFFSET(fTbl14[[#This Row],[LT]],-1,0)="H",1,IF(fTbl14[[#This Row],[LT]]="!H",-1,0)))</f>
        <v>1</v>
      </c>
      <c r="M5">
        <f ca="1">IF(RIGHT(fTbl14[[#This Row],[valid]],4)&lt;&gt;"list",0,IFERROR(MATCH(fTbl14[[#This Row],[Context]]&amp;"|"&amp;fTbl14[[#This Row],[Field]],Ltbl[ind],0),IFERROR(MATCH("ALL|"&amp;fTbl14[[#This Row],[Field]],Ltbl[ind],0),-1)))</f>
        <v>1</v>
      </c>
      <c r="N5" t="str" cm="1">
        <f t="array" aca="1" ref="N5" ca="1">IF(fTbl14[[#This Row],[listlu]]&lt;1,"",IF(INDEX(Ltbl[Generic],fTbl14[[#This Row],[listlu]])="","",INDEX(Ltbl[Generic],fTbl14[[#This Row],[listlu]])))</f>
        <v>CUST</v>
      </c>
      <c r="O5">
        <f ca="1">IF(AND(fTbl14[[#This Row],[listlu]],ISERROR(FIND(",",fTbl14[[#This Row],[liMatch]])),fTbl14[[#This Row],[liMatch]]&lt;&gt;""),1,0)</f>
        <v>1</v>
      </c>
      <c r="P5">
        <f>IF(AND(fTbl14[[#This Row],[LT]]="Ref",ISNA(MATCH(fTbl14[[#This Row],[Field]],rTbl[Ref],0))),1,0)</f>
        <v>0</v>
      </c>
      <c r="Q5"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5">
        <f ca="1">FIND("~",SUBSTITUTE(fTbl14[[#This Row],[Hierarchy]],"|","~",1))</f>
        <v>8</v>
      </c>
      <c r="S5" t="e">
        <f ca="1">FIND("~",SUBSTITUTE(fTbl14[[#This Row],[Hierarchy]],"|","~",2))</f>
        <v>#VALUE!</v>
      </c>
      <c r="T5" cm="1">
        <f t="array" aca="1" ref="T5" ca="1">IF(fTbl14[[#This Row],[listlu]]=0,0,IF(INDEX(Ltbl[Context],fTbl14[[#This Row],[listlu]],1)="ALL",1,2))</f>
        <v>1</v>
      </c>
      <c r="U5" s="29"/>
    </row>
    <row r="6" spans="1:21">
      <c r="A6" s="15" t="s">
        <v>28</v>
      </c>
      <c r="B6" t="s">
        <v>34</v>
      </c>
      <c r="C6" t="s">
        <v>30</v>
      </c>
      <c r="D6" s="1">
        <v>15</v>
      </c>
      <c r="E6" s="1">
        <v>1</v>
      </c>
      <c r="F6" s="1"/>
      <c r="G6" s="1"/>
      <c r="H6" s="1" t="s">
        <v>31</v>
      </c>
      <c r="I6" s="19" t="s">
        <v>35</v>
      </c>
      <c r="J6" s="27" t="s">
        <v>206</v>
      </c>
      <c r="K6" t="str">
        <f ca="1">IFERROR(IF(fTbl14[[#This Row],[LT]]="H",MID(fTbl14[[#This Row],[Hierarchy]],fTbl14[[#This Row],[pipe1]]+1,fTbl14[[#This Row],[pipe2]]-fTbl14[[#This Row],[pipe1]]-1),LEFT(fTbl14[[#This Row],[Hierarchy]],FIND("|",fTbl14[[#This Row],[Hierarchy]])-1)),"")</f>
        <v>wOrders</v>
      </c>
      <c r="L6" s="1">
        <f ca="1">IF(ROW()=3,0,OFFSET(fTbl14[[#This Row],[Lev]],-1,0)+IF(OFFSET(fTbl14[[#This Row],[LT]],-1,0)="H",1,IF(fTbl14[[#This Row],[LT]]="!H",-1,0)))</f>
        <v>1</v>
      </c>
      <c r="M6">
        <f ca="1">IF(RIGHT(fTbl14[[#This Row],[valid]],4)&lt;&gt;"list",0,IFERROR(MATCH(fTbl14[[#This Row],[Context]]&amp;"|"&amp;fTbl14[[#This Row],[Field]],Ltbl[ind],0),IFERROR(MATCH("ALL|"&amp;fTbl14[[#This Row],[Field]],Ltbl[ind],0),-1)))</f>
        <v>6</v>
      </c>
      <c r="N6" t="str" cm="1">
        <f t="array" aca="1" ref="N6" ca="1">IF(fTbl14[[#This Row],[listlu]]&lt;1,"",IF(INDEX(Ltbl[Generic],fTbl14[[#This Row],[listlu]])="","",INDEX(Ltbl[Generic],fTbl14[[#This Row],[listlu]])))</f>
        <v>NORTHAMPTON</v>
      </c>
      <c r="O6">
        <f ca="1">IF(AND(fTbl14[[#This Row],[listlu]],ISERROR(FIND(",",fTbl14[[#This Row],[liMatch]])),fTbl14[[#This Row],[liMatch]]&lt;&gt;""),1,0)</f>
        <v>1</v>
      </c>
      <c r="P6">
        <f>IF(AND(fTbl14[[#This Row],[LT]]="Ref",ISNA(MATCH(fTbl14[[#This Row],[Field]],rTbl[Ref],0))),1,0)</f>
        <v>0</v>
      </c>
      <c r="Q6"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6">
        <f ca="1">FIND("~",SUBSTITUTE(fTbl14[[#This Row],[Hierarchy]],"|","~",1))</f>
        <v>8</v>
      </c>
      <c r="S6" t="e">
        <f ca="1">FIND("~",SUBSTITUTE(fTbl14[[#This Row],[Hierarchy]],"|","~",2))</f>
        <v>#VALUE!</v>
      </c>
      <c r="T6" cm="1">
        <f t="array" aca="1" ref="T6" ca="1">IF(fTbl14[[#This Row],[listlu]]=0,0,IF(INDEX(Ltbl[Context],fTbl14[[#This Row],[listlu]],1)="ALL",1,2))</f>
        <v>1</v>
      </c>
      <c r="U6" s="29"/>
    </row>
    <row r="7" spans="1:21">
      <c r="A7" s="15" t="s">
        <v>28</v>
      </c>
      <c r="B7" t="s">
        <v>37</v>
      </c>
      <c r="C7" t="s">
        <v>30</v>
      </c>
      <c r="D7" s="1">
        <v>15</v>
      </c>
      <c r="E7" s="1">
        <v>1</v>
      </c>
      <c r="F7" s="1"/>
      <c r="G7" s="1"/>
      <c r="H7" s="1" t="s">
        <v>31</v>
      </c>
      <c r="I7" s="19" t="s">
        <v>38</v>
      </c>
      <c r="J7" s="28" t="s">
        <v>39</v>
      </c>
      <c r="K7" t="str">
        <f ca="1">IFERROR(IF(fTbl14[[#This Row],[LT]]="H",MID(fTbl14[[#This Row],[Hierarchy]],fTbl14[[#This Row],[pipe1]]+1,fTbl14[[#This Row],[pipe2]]-fTbl14[[#This Row],[pipe1]]-1),LEFT(fTbl14[[#This Row],[Hierarchy]],FIND("|",fTbl14[[#This Row],[Hierarchy]])-1)),"")</f>
        <v>wOrders</v>
      </c>
      <c r="L7" s="1">
        <f ca="1">IF(ROW()=3,0,OFFSET(fTbl14[[#This Row],[Lev]],-1,0)+IF(OFFSET(fTbl14[[#This Row],[LT]],-1,0)="H",1,IF(fTbl14[[#This Row],[LT]]="!H",-1,0)))</f>
        <v>1</v>
      </c>
      <c r="M7">
        <f ca="1">IF(RIGHT(fTbl14[[#This Row],[valid]],4)&lt;&gt;"list",0,IFERROR(MATCH(fTbl14[[#This Row],[Context]]&amp;"|"&amp;fTbl14[[#This Row],[Field]],Ltbl[ind],0),IFERROR(MATCH("ALL|"&amp;fTbl14[[#This Row],[Field]],Ltbl[ind],0),-1)))</f>
        <v>9</v>
      </c>
      <c r="N7" t="str" cm="1">
        <f t="array" aca="1" ref="N7" ca="1">IF(fTbl14[[#This Row],[listlu]]&lt;1,"",IF(INDEX(Ltbl[Generic],fTbl14[[#This Row],[listlu]])="","",INDEX(Ltbl[Generic],fTbl14[[#This Row],[listlu]])))</f>
        <v>ECOM,WS,BULK</v>
      </c>
      <c r="O7">
        <f ca="1">IF(AND(fTbl14[[#This Row],[listlu]],ISERROR(FIND(",",fTbl14[[#This Row],[liMatch]])),fTbl14[[#This Row],[liMatch]]&lt;&gt;""),1,0)</f>
        <v>0</v>
      </c>
      <c r="P7">
        <f>IF(AND(fTbl14[[#This Row],[LT]]="Ref",ISNA(MATCH(fTbl14[[#This Row],[Field]],rTbl[Ref],0))),1,0)</f>
        <v>0</v>
      </c>
      <c r="Q7"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7">
        <f ca="1">FIND("~",SUBSTITUTE(fTbl14[[#This Row],[Hierarchy]],"|","~",1))</f>
        <v>8</v>
      </c>
      <c r="S7" t="e">
        <f ca="1">FIND("~",SUBSTITUTE(fTbl14[[#This Row],[Hierarchy]],"|","~",2))</f>
        <v>#VALUE!</v>
      </c>
      <c r="T7" cm="1">
        <f t="array" aca="1" ref="T7" ca="1">IF(fTbl14[[#This Row],[listlu]]=0,0,IF(INDEX(Ltbl[Context],fTbl14[[#This Row],[listlu]],1)="ALL",1,2))</f>
        <v>1</v>
      </c>
      <c r="U7" s="29"/>
    </row>
    <row r="8" spans="1:21">
      <c r="A8" s="15" t="s">
        <v>28</v>
      </c>
      <c r="B8" t="s">
        <v>40</v>
      </c>
      <c r="C8" t="s">
        <v>30</v>
      </c>
      <c r="D8" s="1">
        <v>250</v>
      </c>
      <c r="E8" s="1">
        <v>0</v>
      </c>
      <c r="F8" s="1"/>
      <c r="G8" s="1"/>
      <c r="H8" s="1"/>
      <c r="I8" s="19" t="s">
        <v>41</v>
      </c>
      <c r="J8" s="28" t="s">
        <v>42</v>
      </c>
      <c r="K8" t="str">
        <f ca="1">IFERROR(IF(fTbl14[[#This Row],[LT]]="H",MID(fTbl14[[#This Row],[Hierarchy]],fTbl14[[#This Row],[pipe1]]+1,fTbl14[[#This Row],[pipe2]]-fTbl14[[#This Row],[pipe1]]-1),LEFT(fTbl14[[#This Row],[Hierarchy]],FIND("|",fTbl14[[#This Row],[Hierarchy]])-1)),"")</f>
        <v>wOrders</v>
      </c>
      <c r="L8" s="1">
        <f ca="1">IF(ROW()=3,0,OFFSET(fTbl14[[#This Row],[Lev]],-1,0)+IF(OFFSET(fTbl14[[#This Row],[LT]],-1,0)="H",1,IF(fTbl14[[#This Row],[LT]]="!H",-1,0)))</f>
        <v>1</v>
      </c>
      <c r="M8">
        <f>IF(RIGHT(fTbl14[[#This Row],[valid]],4)&lt;&gt;"list",0,IFERROR(MATCH(fTbl14[[#This Row],[Context]]&amp;"|"&amp;fTbl14[[#This Row],[Field]],Ltbl[ind],0),IFERROR(MATCH("ALL|"&amp;fTbl14[[#This Row],[Field]],Ltbl[ind],0),-1)))</f>
        <v>0</v>
      </c>
      <c r="N8" t="str" cm="1">
        <f t="array" ref="N8">IF(fTbl14[[#This Row],[listlu]]&lt;1,"",IF(INDEX(Ltbl[Generic],fTbl14[[#This Row],[listlu]])="","",INDEX(Ltbl[Generic],fTbl14[[#This Row],[listlu]])))</f>
        <v/>
      </c>
      <c r="O8">
        <f>IF(AND(fTbl14[[#This Row],[listlu]],ISERROR(FIND(",",fTbl14[[#This Row],[liMatch]])),fTbl14[[#This Row],[liMatch]]&lt;&gt;""),1,0)</f>
        <v>0</v>
      </c>
      <c r="P8">
        <f>IF(AND(fTbl14[[#This Row],[LT]]="Ref",ISNA(MATCH(fTbl14[[#This Row],[Field]],rTbl[Ref],0))),1,0)</f>
        <v>0</v>
      </c>
      <c r="Q8"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8">
        <f ca="1">FIND("~",SUBSTITUTE(fTbl14[[#This Row],[Hierarchy]],"|","~",1))</f>
        <v>8</v>
      </c>
      <c r="S8" t="e">
        <f ca="1">FIND("~",SUBSTITUTE(fTbl14[[#This Row],[Hierarchy]],"|","~",2))</f>
        <v>#VALUE!</v>
      </c>
      <c r="T8" cm="1">
        <f t="array" ref="T8">IF(fTbl14[[#This Row],[listlu]]=0,0,IF(INDEX(Ltbl[Context],fTbl14[[#This Row],[listlu]],1)="ALL",1,2))</f>
        <v>0</v>
      </c>
      <c r="U8" s="29"/>
    </row>
    <row r="9" spans="1:21">
      <c r="A9" s="15" t="s">
        <v>28</v>
      </c>
      <c r="B9" t="s">
        <v>43</v>
      </c>
      <c r="C9" t="s">
        <v>30</v>
      </c>
      <c r="D9" s="1">
        <v>50</v>
      </c>
      <c r="E9" s="1">
        <v>0</v>
      </c>
      <c r="F9" s="1"/>
      <c r="G9" s="1"/>
      <c r="H9" s="1"/>
      <c r="I9" s="19" t="s">
        <v>44</v>
      </c>
      <c r="J9" s="28" t="s">
        <v>45</v>
      </c>
      <c r="K9" t="str">
        <f ca="1">IFERROR(IF(fTbl14[[#This Row],[LT]]="H",MID(fTbl14[[#This Row],[Hierarchy]],fTbl14[[#This Row],[pipe1]]+1,fTbl14[[#This Row],[pipe2]]-fTbl14[[#This Row],[pipe1]]-1),LEFT(fTbl14[[#This Row],[Hierarchy]],FIND("|",fTbl14[[#This Row],[Hierarchy]])-1)),"")</f>
        <v>wOrders</v>
      </c>
      <c r="L9" s="1">
        <f ca="1">IF(ROW()=3,0,OFFSET(fTbl14[[#This Row],[Lev]],-1,0)+IF(OFFSET(fTbl14[[#This Row],[LT]],-1,0)="H",1,IF(fTbl14[[#This Row],[LT]]="!H",-1,0)))</f>
        <v>1</v>
      </c>
      <c r="M9">
        <f>IF(RIGHT(fTbl14[[#This Row],[valid]],4)&lt;&gt;"list",0,IFERROR(MATCH(fTbl14[[#This Row],[Context]]&amp;"|"&amp;fTbl14[[#This Row],[Field]],Ltbl[ind],0),IFERROR(MATCH("ALL|"&amp;fTbl14[[#This Row],[Field]],Ltbl[ind],0),-1)))</f>
        <v>0</v>
      </c>
      <c r="N9" t="str" cm="1">
        <f t="array" ref="N9">IF(fTbl14[[#This Row],[listlu]]&lt;1,"",IF(INDEX(Ltbl[Generic],fTbl14[[#This Row],[listlu]])="","",INDEX(Ltbl[Generic],fTbl14[[#This Row],[listlu]])))</f>
        <v/>
      </c>
      <c r="O9">
        <f>IF(AND(fTbl14[[#This Row],[listlu]],ISERROR(FIND(",",fTbl14[[#This Row],[liMatch]])),fTbl14[[#This Row],[liMatch]]&lt;&gt;""),1,0)</f>
        <v>0</v>
      </c>
      <c r="P9">
        <f>IF(AND(fTbl14[[#This Row],[LT]]="Ref",ISNA(MATCH(fTbl14[[#This Row],[Field]],rTbl[Ref],0))),1,0)</f>
        <v>0</v>
      </c>
      <c r="Q9"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9">
        <f ca="1">FIND("~",SUBSTITUTE(fTbl14[[#This Row],[Hierarchy]],"|","~",1))</f>
        <v>8</v>
      </c>
      <c r="S9" t="e">
        <f ca="1">FIND("~",SUBSTITUTE(fTbl14[[#This Row],[Hierarchy]],"|","~",2))</f>
        <v>#VALUE!</v>
      </c>
      <c r="T9" cm="1">
        <f t="array" ref="T9">IF(fTbl14[[#This Row],[listlu]]=0,0,IF(INDEX(Ltbl[Context],fTbl14[[#This Row],[listlu]],1)="ALL",1,2))</f>
        <v>0</v>
      </c>
      <c r="U9" s="29"/>
    </row>
    <row r="10" spans="1:21">
      <c r="A10" s="15" t="s">
        <v>28</v>
      </c>
      <c r="B10" t="s">
        <v>46</v>
      </c>
      <c r="C10" t="s">
        <v>30</v>
      </c>
      <c r="D10" s="1">
        <v>20</v>
      </c>
      <c r="E10" s="1">
        <v>0</v>
      </c>
      <c r="F10" s="1"/>
      <c r="G10" s="1"/>
      <c r="H10" s="1" t="s">
        <v>31</v>
      </c>
      <c r="I10" s="19" t="s">
        <v>47</v>
      </c>
      <c r="J10" s="28" t="s">
        <v>48</v>
      </c>
      <c r="K10" t="str">
        <f ca="1">IFERROR(IF(fTbl14[[#This Row],[LT]]="H",MID(fTbl14[[#This Row],[Hierarchy]],fTbl14[[#This Row],[pipe1]]+1,fTbl14[[#This Row],[pipe2]]-fTbl14[[#This Row],[pipe1]]-1),LEFT(fTbl14[[#This Row],[Hierarchy]],FIND("|",fTbl14[[#This Row],[Hierarchy]])-1)),"")</f>
        <v>wOrders</v>
      </c>
      <c r="L10" s="1">
        <f ca="1">IF(ROW()=3,0,OFFSET(fTbl14[[#This Row],[Lev]],-1,0)+IF(OFFSET(fTbl14[[#This Row],[LT]],-1,0)="H",1,IF(fTbl14[[#This Row],[LT]]="!H",-1,0)))</f>
        <v>1</v>
      </c>
      <c r="M10">
        <f ca="1">IF(RIGHT(fTbl14[[#This Row],[valid]],4)&lt;&gt;"list",0,IFERROR(MATCH(fTbl14[[#This Row],[Context]]&amp;"|"&amp;fTbl14[[#This Row],[Field]],Ltbl[ind],0),IFERROR(MATCH("ALL|"&amp;fTbl14[[#This Row],[Field]],Ltbl[ind],0),-1)))</f>
        <v>4</v>
      </c>
      <c r="N10" t="str" cm="1">
        <f t="array" aca="1" ref="N10" ca="1">IF(fTbl14[[#This Row],[listlu]]&lt;1,"",IF(INDEX(Ltbl[Generic],fTbl14[[#This Row],[listlu]])="","",INDEX(Ltbl[Generic],fTbl14[[#This Row],[listlu]])))</f>
        <v>ShopEU,ShopUK,NetSuite</v>
      </c>
      <c r="O10">
        <f ca="1">IF(AND(fTbl14[[#This Row],[listlu]],ISERROR(FIND(",",fTbl14[[#This Row],[liMatch]])),fTbl14[[#This Row],[liMatch]]&lt;&gt;""),1,0)</f>
        <v>0</v>
      </c>
      <c r="P10">
        <f>IF(AND(fTbl14[[#This Row],[LT]]="Ref",ISNA(MATCH(fTbl14[[#This Row],[Field]],rTbl[Ref],0))),1,0)</f>
        <v>0</v>
      </c>
      <c r="Q10"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10">
        <f ca="1">FIND("~",SUBSTITUTE(fTbl14[[#This Row],[Hierarchy]],"|","~",1))</f>
        <v>8</v>
      </c>
      <c r="S10" t="e">
        <f ca="1">FIND("~",SUBSTITUTE(fTbl14[[#This Row],[Hierarchy]],"|","~",2))</f>
        <v>#VALUE!</v>
      </c>
      <c r="T10" cm="1">
        <f t="array" aca="1" ref="T10" ca="1">IF(fTbl14[[#This Row],[listlu]]=0,0,IF(INDEX(Ltbl[Context],fTbl14[[#This Row],[listlu]],1)="ALL",1,2))</f>
        <v>1</v>
      </c>
      <c r="U10" s="29"/>
    </row>
    <row r="11" spans="1:21">
      <c r="A11" s="15" t="s">
        <v>28</v>
      </c>
      <c r="B11" t="s">
        <v>50</v>
      </c>
      <c r="C11" t="s">
        <v>30</v>
      </c>
      <c r="D11" s="1">
        <v>20</v>
      </c>
      <c r="E11" s="1">
        <v>0</v>
      </c>
      <c r="F11" s="1"/>
      <c r="G11" s="1"/>
      <c r="H11" s="1" t="s">
        <v>31</v>
      </c>
      <c r="I11" s="19" t="s">
        <v>51</v>
      </c>
      <c r="J11" s="28" t="s">
        <v>52</v>
      </c>
      <c r="K11" t="str">
        <f ca="1">IFERROR(IF(fTbl14[[#This Row],[LT]]="H",MID(fTbl14[[#This Row],[Hierarchy]],fTbl14[[#This Row],[pipe1]]+1,fTbl14[[#This Row],[pipe2]]-fTbl14[[#This Row],[pipe1]]-1),LEFT(fTbl14[[#This Row],[Hierarchy]],FIND("|",fTbl14[[#This Row],[Hierarchy]])-1)),"")</f>
        <v>wOrders</v>
      </c>
      <c r="L11" s="1">
        <f ca="1">IF(ROW()=3,0,OFFSET(fTbl14[[#This Row],[Lev]],-1,0)+IF(OFFSET(fTbl14[[#This Row],[LT]],-1,0)="H",1,IF(fTbl14[[#This Row],[LT]]="!H",-1,0)))</f>
        <v>1</v>
      </c>
      <c r="M11">
        <f ca="1">IF(RIGHT(fTbl14[[#This Row],[valid]],4)&lt;&gt;"list",0,IFERROR(MATCH(fTbl14[[#This Row],[Context]]&amp;"|"&amp;fTbl14[[#This Row],[Field]],Ltbl[ind],0),IFERROR(MATCH("ALL|"&amp;fTbl14[[#This Row],[Field]],Ltbl[ind],0),-1)))</f>
        <v>3</v>
      </c>
      <c r="N11" t="str" cm="1">
        <f t="array" aca="1" ref="N11" ca="1">IF(fTbl14[[#This Row],[listlu]]&lt;1,"",IF(INDEX(Ltbl[Generic],fTbl14[[#This Row],[listlu]])="","",INDEX(Ltbl[Generic],fTbl14[[#This Row],[listlu]])))</f>
        <v>MyFirstBrand,OtherBrand</v>
      </c>
      <c r="O11">
        <f ca="1">IF(AND(fTbl14[[#This Row],[listlu]],ISERROR(FIND(",",fTbl14[[#This Row],[liMatch]])),fTbl14[[#This Row],[liMatch]]&lt;&gt;""),1,0)</f>
        <v>0</v>
      </c>
      <c r="P11">
        <f>IF(AND(fTbl14[[#This Row],[LT]]="Ref",ISNA(MATCH(fTbl14[[#This Row],[Field]],rTbl[Ref],0))),1,0)</f>
        <v>0</v>
      </c>
      <c r="Q11"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11">
        <f ca="1">FIND("~",SUBSTITUTE(fTbl14[[#This Row],[Hierarchy]],"|","~",1))</f>
        <v>8</v>
      </c>
      <c r="S11" t="e">
        <f ca="1">FIND("~",SUBSTITUTE(fTbl14[[#This Row],[Hierarchy]],"|","~",2))</f>
        <v>#VALUE!</v>
      </c>
      <c r="T11" cm="1">
        <f t="array" aca="1" ref="T11" ca="1">IF(fTbl14[[#This Row],[listlu]]=0,0,IF(INDEX(Ltbl[Context],fTbl14[[#This Row],[listlu]],1)="ALL",1,2))</f>
        <v>1</v>
      </c>
      <c r="U11" s="29"/>
    </row>
    <row r="12" spans="1:21">
      <c r="A12" s="15" t="s">
        <v>25</v>
      </c>
      <c r="B12" t="s">
        <v>53</v>
      </c>
      <c r="D12" s="1"/>
      <c r="E12" s="1"/>
      <c r="F12" s="1"/>
      <c r="G12" s="1"/>
      <c r="H12" s="1"/>
      <c r="I12" s="19" t="s">
        <v>54</v>
      </c>
      <c r="J12" s="28"/>
      <c r="K12" t="str">
        <f ca="1">IFERROR(IF(fTbl14[[#This Row],[LT]]="H",MID(fTbl14[[#This Row],[Hierarchy]],fTbl14[[#This Row],[pipe1]]+1,fTbl14[[#This Row],[pipe2]]-fTbl14[[#This Row],[pipe1]]-1),LEFT(fTbl14[[#This Row],[Hierarchy]],FIND("|",fTbl14[[#This Row],[Hierarchy]])-1)),"")</f>
        <v>wOrders</v>
      </c>
      <c r="L12" s="1">
        <f ca="1">IF(ROW()=3,0,OFFSET(fTbl14[[#This Row],[Lev]],-1,0)+IF(OFFSET(fTbl14[[#This Row],[LT]],-1,0)="H",1,IF(fTbl14[[#This Row],[LT]]="!H",-1,0)))</f>
        <v>1</v>
      </c>
      <c r="M12">
        <f>IF(RIGHT(fTbl14[[#This Row],[valid]],4)&lt;&gt;"list",0,IFERROR(MATCH(fTbl14[[#This Row],[Context]]&amp;"|"&amp;fTbl14[[#This Row],[Field]],Ltbl[ind],0),IFERROR(MATCH("ALL|"&amp;fTbl14[[#This Row],[Field]],Ltbl[ind],0),-1)))</f>
        <v>0</v>
      </c>
      <c r="N12" t="str" cm="1">
        <f t="array" ref="N12">IF(fTbl14[[#This Row],[listlu]]&lt;1,"",IF(INDEX(Ltbl[Generic],fTbl14[[#This Row],[listlu]])="","",INDEX(Ltbl[Generic],fTbl14[[#This Row],[listlu]])))</f>
        <v/>
      </c>
      <c r="O12">
        <f>IF(AND(fTbl14[[#This Row],[listlu]],ISERROR(FIND(",",fTbl14[[#This Row],[liMatch]])),fTbl14[[#This Row],[liMatch]]&lt;&gt;""),1,0)</f>
        <v>0</v>
      </c>
      <c r="P12">
        <f>IF(AND(fTbl14[[#This Row],[LT]]="Ref",ISNA(MATCH(fTbl14[[#This Row],[Field]],rTbl[Ref],0))),1,0)</f>
        <v>0</v>
      </c>
      <c r="Q12"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12">
        <f ca="1">FIND("~",SUBSTITUTE(fTbl14[[#This Row],[Hierarchy]],"|","~",1))</f>
        <v>8</v>
      </c>
      <c r="S12" t="e">
        <f ca="1">FIND("~",SUBSTITUTE(fTbl14[[#This Row],[Hierarchy]],"|","~",2))</f>
        <v>#VALUE!</v>
      </c>
      <c r="T12" cm="1">
        <f t="array" ref="T12">IF(fTbl14[[#This Row],[listlu]]=0,0,IF(INDEX(Ltbl[Context],fTbl14[[#This Row],[listlu]],1)="ALL",1,2))</f>
        <v>0</v>
      </c>
      <c r="U12" s="29"/>
    </row>
    <row r="13" spans="1:21">
      <c r="A13" s="15" t="s">
        <v>28</v>
      </c>
      <c r="B13" t="s">
        <v>55</v>
      </c>
      <c r="C13" t="s">
        <v>30</v>
      </c>
      <c r="D13" s="1">
        <v>5</v>
      </c>
      <c r="E13" s="1">
        <v>1</v>
      </c>
      <c r="F13" s="1"/>
      <c r="G13" s="1"/>
      <c r="H13" s="1" t="s">
        <v>56</v>
      </c>
      <c r="I13" s="19" t="s">
        <v>207</v>
      </c>
      <c r="J13" s="28" t="s">
        <v>208</v>
      </c>
      <c r="K13" t="str">
        <f ca="1">IFERROR(IF(fTbl14[[#This Row],[LT]]="H",MID(fTbl14[[#This Row],[Hierarchy]],fTbl14[[#This Row],[pipe1]]+1,fTbl14[[#This Row],[pipe2]]-fTbl14[[#This Row],[pipe1]]-1),LEFT(fTbl14[[#This Row],[Hierarchy]],FIND("|",fTbl14[[#This Row],[Hierarchy]])-1)),"")</f>
        <v>wOrders</v>
      </c>
      <c r="L13" s="1">
        <f ca="1">IF(ROW()=3,0,OFFSET(fTbl14[[#This Row],[Lev]],-1,0)+IF(OFFSET(fTbl14[[#This Row],[LT]],-1,0)="H",1,IF(fTbl14[[#This Row],[LT]]="!H",-1,0)))</f>
        <v>1</v>
      </c>
      <c r="M13">
        <f ca="1">IF(RIGHT(fTbl14[[#This Row],[valid]],4)&lt;&gt;"list",0,IFERROR(MATCH(fTbl14[[#This Row],[Context]]&amp;"|"&amp;fTbl14[[#This Row],[Field]],Ltbl[ind],0),IFERROR(MATCH("ALL|"&amp;fTbl14[[#This Row],[Field]],Ltbl[ind],0),-1)))</f>
        <v>34</v>
      </c>
      <c r="N13" t="str" cm="1">
        <f t="array" aca="1" ref="N13" ca="1">IF(fTbl14[[#This Row],[listlu]]&lt;1,"",IF(INDEX(Ltbl[Generic],fTbl14[[#This Row],[listlu]])="","",INDEX(Ltbl[Generic],fTbl14[[#This Row],[listlu]])))</f>
        <v>WO</v>
      </c>
      <c r="O13">
        <f ca="1">IF(AND(fTbl14[[#This Row],[listlu]],ISERROR(FIND(",",fTbl14[[#This Row],[liMatch]])),fTbl14[[#This Row],[liMatch]]&lt;&gt;""),1,0)</f>
        <v>1</v>
      </c>
      <c r="P13">
        <f>IF(AND(fTbl14[[#This Row],[LT]]="Ref",ISNA(MATCH(fTbl14[[#This Row],[Field]],rTbl[Ref],0))),1,0)</f>
        <v>0</v>
      </c>
      <c r="Q13"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13">
        <f ca="1">FIND("~",SUBSTITUTE(fTbl14[[#This Row],[Hierarchy]],"|","~",1))</f>
        <v>8</v>
      </c>
      <c r="S13" t="e">
        <f ca="1">FIND("~",SUBSTITUTE(fTbl14[[#This Row],[Hierarchy]],"|","~",2))</f>
        <v>#VALUE!</v>
      </c>
      <c r="T13" cm="1">
        <f t="array" aca="1" ref="T13" ca="1">IF(fTbl14[[#This Row],[listlu]]=0,0,IF(INDEX(Ltbl[Context],fTbl14[[#This Row],[listlu]],1)="ALL",1,2))</f>
        <v>2</v>
      </c>
      <c r="U13" s="29"/>
    </row>
    <row r="14" spans="1:21">
      <c r="A14" s="15" t="s">
        <v>28</v>
      </c>
      <c r="B14" t="s">
        <v>60</v>
      </c>
      <c r="C14" t="s">
        <v>30</v>
      </c>
      <c r="D14" s="1">
        <v>5</v>
      </c>
      <c r="E14" s="1">
        <v>1</v>
      </c>
      <c r="F14" s="1"/>
      <c r="G14" s="1"/>
      <c r="H14" s="1" t="s">
        <v>56</v>
      </c>
      <c r="I14" s="19" t="s">
        <v>61</v>
      </c>
      <c r="J14" s="28" t="s">
        <v>62</v>
      </c>
      <c r="K14" t="str">
        <f ca="1">IFERROR(IF(fTbl14[[#This Row],[LT]]="H",MID(fTbl14[[#This Row],[Hierarchy]],fTbl14[[#This Row],[pipe1]]+1,fTbl14[[#This Row],[pipe2]]-fTbl14[[#This Row],[pipe1]]-1),LEFT(fTbl14[[#This Row],[Hierarchy]],FIND("|",fTbl14[[#This Row],[Hierarchy]])-1)),"")</f>
        <v>wOrders</v>
      </c>
      <c r="L14" s="1">
        <f ca="1">IF(ROW()=3,0,OFFSET(fTbl14[[#This Row],[Lev]],-1,0)+IF(OFFSET(fTbl14[[#This Row],[LT]],-1,0)="H",1,IF(fTbl14[[#This Row],[LT]]="!H",-1,0)))</f>
        <v>1</v>
      </c>
      <c r="M14">
        <f ca="1">IF(RIGHT(fTbl14[[#This Row],[valid]],4)&lt;&gt;"list",0,IFERROR(MATCH(fTbl14[[#This Row],[Context]]&amp;"|"&amp;fTbl14[[#This Row],[Field]],Ltbl[ind],0),IFERROR(MATCH("ALL|"&amp;fTbl14[[#This Row],[Field]],Ltbl[ind],0),-1)))</f>
        <v>8</v>
      </c>
      <c r="N14" t="str" cm="1">
        <f t="array" aca="1" ref="N14" ca="1">IF(fTbl14[[#This Row],[listlu]]&lt;1,"",IF(INDEX(Ltbl[Generic],fTbl14[[#This Row],[listlu]])="","",INDEX(Ltbl[Generic],fTbl14[[#This Row],[listlu]])))</f>
        <v>NEW,UPD</v>
      </c>
      <c r="O14">
        <f ca="1">IF(AND(fTbl14[[#This Row],[listlu]],ISERROR(FIND(",",fTbl14[[#This Row],[liMatch]])),fTbl14[[#This Row],[liMatch]]&lt;&gt;""),1,0)</f>
        <v>0</v>
      </c>
      <c r="P14">
        <f>IF(AND(fTbl14[[#This Row],[LT]]="Ref",ISNA(MATCH(fTbl14[[#This Row],[Field]],rTbl[Ref],0))),1,0)</f>
        <v>0</v>
      </c>
      <c r="Q14"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14">
        <f ca="1">FIND("~",SUBSTITUTE(fTbl14[[#This Row],[Hierarchy]],"|","~",1))</f>
        <v>8</v>
      </c>
      <c r="S14" t="e">
        <f ca="1">FIND("~",SUBSTITUTE(fTbl14[[#This Row],[Hierarchy]],"|","~",2))</f>
        <v>#VALUE!</v>
      </c>
      <c r="T14" cm="1">
        <f t="array" aca="1" ref="T14" ca="1">IF(fTbl14[[#This Row],[listlu]]=0,0,IF(INDEX(Ltbl[Context],fTbl14[[#This Row],[listlu]],1)="ALL",1,2))</f>
        <v>1</v>
      </c>
      <c r="U14" s="29"/>
    </row>
    <row r="15" spans="1:21">
      <c r="A15" s="15" t="s">
        <v>28</v>
      </c>
      <c r="B15" t="s">
        <v>64</v>
      </c>
      <c r="C15" t="s">
        <v>30</v>
      </c>
      <c r="D15" s="1">
        <v>10</v>
      </c>
      <c r="E15" s="1">
        <v>1</v>
      </c>
      <c r="F15" s="1"/>
      <c r="G15" s="1"/>
      <c r="H15" s="1" t="s">
        <v>56</v>
      </c>
      <c r="I15" s="19" t="s">
        <v>209</v>
      </c>
      <c r="J15" s="28" t="s">
        <v>208</v>
      </c>
      <c r="K15" t="str">
        <f ca="1">IFERROR(IF(fTbl14[[#This Row],[LT]]="H",MID(fTbl14[[#This Row],[Hierarchy]],fTbl14[[#This Row],[pipe1]]+1,fTbl14[[#This Row],[pipe2]]-fTbl14[[#This Row],[pipe1]]-1),LEFT(fTbl14[[#This Row],[Hierarchy]],FIND("|",fTbl14[[#This Row],[Hierarchy]])-1)),"")</f>
        <v>wOrders</v>
      </c>
      <c r="L15" s="1">
        <f ca="1">IF(ROW()=3,0,OFFSET(fTbl14[[#This Row],[Lev]],-1,0)+IF(OFFSET(fTbl14[[#This Row],[LT]],-1,0)="H",1,IF(fTbl14[[#This Row],[LT]]="!H",-1,0)))</f>
        <v>1</v>
      </c>
      <c r="M15">
        <f ca="1">IF(RIGHT(fTbl14[[#This Row],[valid]],4)&lt;&gt;"list",0,IFERROR(MATCH(fTbl14[[#This Row],[Context]]&amp;"|"&amp;fTbl14[[#This Row],[Field]],Ltbl[ind],0),IFERROR(MATCH("ALL|"&amp;fTbl14[[#This Row],[Field]],Ltbl[ind],0),-1)))</f>
        <v>33</v>
      </c>
      <c r="N15" t="str" cm="1">
        <f t="array" aca="1" ref="N15" ca="1">IF(fTbl14[[#This Row],[listlu]]&lt;1,"",IF(INDEX(Ltbl[Generic],fTbl14[[#This Row],[listlu]])="","",INDEX(Ltbl[Generic],fTbl14[[#This Row],[listlu]])))</f>
        <v>WO</v>
      </c>
      <c r="O15">
        <f ca="1">IF(AND(fTbl14[[#This Row],[listlu]],ISERROR(FIND(",",fTbl14[[#This Row],[liMatch]])),fTbl14[[#This Row],[liMatch]]&lt;&gt;""),1,0)</f>
        <v>1</v>
      </c>
      <c r="P15">
        <f>IF(AND(fTbl14[[#This Row],[LT]]="Ref",ISNA(MATCH(fTbl14[[#This Row],[Field]],rTbl[Ref],0))),1,0)</f>
        <v>0</v>
      </c>
      <c r="Q15"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15">
        <f ca="1">FIND("~",SUBSTITUTE(fTbl14[[#This Row],[Hierarchy]],"|","~",1))</f>
        <v>8</v>
      </c>
      <c r="S15" t="e">
        <f ca="1">FIND("~",SUBSTITUTE(fTbl14[[#This Row],[Hierarchy]],"|","~",2))</f>
        <v>#VALUE!</v>
      </c>
      <c r="T15" cm="1">
        <f t="array" aca="1" ref="T15" ca="1">IF(fTbl14[[#This Row],[listlu]]=0,0,IF(INDEX(Ltbl[Context],fTbl14[[#This Row],[listlu]],1)="ALL",1,2))</f>
        <v>2</v>
      </c>
      <c r="U15" s="29"/>
    </row>
    <row r="16" spans="1:21">
      <c r="A16" s="15" t="s">
        <v>28</v>
      </c>
      <c r="B16" t="s">
        <v>77</v>
      </c>
      <c r="C16" t="s">
        <v>30</v>
      </c>
      <c r="D16" s="1">
        <v>10</v>
      </c>
      <c r="E16" s="1">
        <v>0</v>
      </c>
      <c r="F16" s="1"/>
      <c r="G16" s="1"/>
      <c r="H16" s="1" t="s">
        <v>56</v>
      </c>
      <c r="I16" s="19" t="s">
        <v>78</v>
      </c>
      <c r="J16" s="28" t="s">
        <v>79</v>
      </c>
      <c r="K16" t="str">
        <f ca="1">IFERROR(IF(fTbl14[[#This Row],[LT]]="H",MID(fTbl14[[#This Row],[Hierarchy]],fTbl14[[#This Row],[pipe1]]+1,fTbl14[[#This Row],[pipe2]]-fTbl14[[#This Row],[pipe1]]-1),LEFT(fTbl14[[#This Row],[Hierarchy]],FIND("|",fTbl14[[#This Row],[Hierarchy]])-1)),"")</f>
        <v>wOrders</v>
      </c>
      <c r="L16" s="1">
        <f ca="1">IF(ROW()=3,0,OFFSET(fTbl14[[#This Row],[Lev]],-1,0)+IF(OFFSET(fTbl14[[#This Row],[LT]],-1,0)="H",1,IF(fTbl14[[#This Row],[LT]]="!H",-1,0)))</f>
        <v>1</v>
      </c>
      <c r="M16">
        <f ca="1">IF(RIGHT(fTbl14[[#This Row],[valid]],4)&lt;&gt;"list",0,IFERROR(MATCH(fTbl14[[#This Row],[Context]]&amp;"|"&amp;fTbl14[[#This Row],[Field]],Ltbl[ind],0),IFERROR(MATCH("ALL|"&amp;fTbl14[[#This Row],[Field]],Ltbl[ind],0),-1)))</f>
        <v>7</v>
      </c>
      <c r="N16" t="str" cm="1">
        <f t="array" aca="1" ref="N16" ca="1">IF(fTbl14[[#This Row],[listlu]]&lt;1,"",IF(INDEX(Ltbl[Generic],fTbl14[[#This Row],[listlu]])="","",INDEX(Ltbl[Generic],fTbl14[[#This Row],[listlu]])))</f>
        <v>NORM,URGNT,HIGH</v>
      </c>
      <c r="O16">
        <f ca="1">IF(AND(fTbl14[[#This Row],[listlu]],ISERROR(FIND(",",fTbl14[[#This Row],[liMatch]])),fTbl14[[#This Row],[liMatch]]&lt;&gt;""),1,0)</f>
        <v>0</v>
      </c>
      <c r="P16">
        <f>IF(AND(fTbl14[[#This Row],[LT]]="Ref",ISNA(MATCH(fTbl14[[#This Row],[Field]],rTbl[Ref],0))),1,0)</f>
        <v>0</v>
      </c>
      <c r="Q16"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16">
        <f ca="1">FIND("~",SUBSTITUTE(fTbl14[[#This Row],[Hierarchy]],"|","~",1))</f>
        <v>8</v>
      </c>
      <c r="S16" t="e">
        <f ca="1">FIND("~",SUBSTITUTE(fTbl14[[#This Row],[Hierarchy]],"|","~",2))</f>
        <v>#VALUE!</v>
      </c>
      <c r="T16" cm="1">
        <f t="array" aca="1" ref="T16" ca="1">IF(fTbl14[[#This Row],[listlu]]=0,0,IF(INDEX(Ltbl[Context],fTbl14[[#This Row],[listlu]],1)="ALL",1,2))</f>
        <v>1</v>
      </c>
      <c r="U16" s="29"/>
    </row>
    <row r="17" spans="1:21">
      <c r="A17" s="15" t="s">
        <v>28</v>
      </c>
      <c r="B17" t="s">
        <v>80</v>
      </c>
      <c r="C17" t="s">
        <v>30</v>
      </c>
      <c r="D17" s="1">
        <v>15</v>
      </c>
      <c r="E17" s="1">
        <v>0</v>
      </c>
      <c r="F17" s="1"/>
      <c r="G17" s="1"/>
      <c r="H17" s="1" t="s">
        <v>73</v>
      </c>
      <c r="I17" s="19" t="s">
        <v>81</v>
      </c>
      <c r="J17" s="28" t="s">
        <v>210</v>
      </c>
      <c r="K17" t="str">
        <f ca="1">IFERROR(IF(fTbl14[[#This Row],[LT]]="H",MID(fTbl14[[#This Row],[Hierarchy]],fTbl14[[#This Row],[pipe1]]+1,fTbl14[[#This Row],[pipe2]]-fTbl14[[#This Row],[pipe1]]-1),LEFT(fTbl14[[#This Row],[Hierarchy]],FIND("|",fTbl14[[#This Row],[Hierarchy]])-1)),"")</f>
        <v>wOrders</v>
      </c>
      <c r="L17" s="1">
        <f ca="1">IF(ROW()=3,0,OFFSET(fTbl14[[#This Row],[Lev]],-1,0)+IF(OFFSET(fTbl14[[#This Row],[LT]],-1,0)="H",1,IF(fTbl14[[#This Row],[LT]]="!H",-1,0)))</f>
        <v>1</v>
      </c>
      <c r="M17">
        <f>IF(RIGHT(fTbl14[[#This Row],[valid]],4)&lt;&gt;"list",0,IFERROR(MATCH(fTbl14[[#This Row],[Context]]&amp;"|"&amp;fTbl14[[#This Row],[Field]],Ltbl[ind],0),IFERROR(MATCH("ALL|"&amp;fTbl14[[#This Row],[Field]],Ltbl[ind],0),-1)))</f>
        <v>0</v>
      </c>
      <c r="N17" t="str" cm="1">
        <f t="array" ref="N17">IF(fTbl14[[#This Row],[listlu]]&lt;1,"",IF(INDEX(Ltbl[Generic],fTbl14[[#This Row],[listlu]])="","",INDEX(Ltbl[Generic],fTbl14[[#This Row],[listlu]])))</f>
        <v/>
      </c>
      <c r="O17">
        <f>IF(AND(fTbl14[[#This Row],[listlu]],ISERROR(FIND(",",fTbl14[[#This Row],[liMatch]])),fTbl14[[#This Row],[liMatch]]&lt;&gt;""),1,0)</f>
        <v>0</v>
      </c>
      <c r="P17">
        <f>IF(AND(fTbl14[[#This Row],[LT]]="Ref",ISNA(MATCH(fTbl14[[#This Row],[Field]],rTbl[Ref],0))),1,0)</f>
        <v>0</v>
      </c>
      <c r="Q17"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17">
        <f ca="1">FIND("~",SUBSTITUTE(fTbl14[[#This Row],[Hierarchy]],"|","~",1))</f>
        <v>8</v>
      </c>
      <c r="S17" t="e">
        <f ca="1">FIND("~",SUBSTITUTE(fTbl14[[#This Row],[Hierarchy]],"|","~",2))</f>
        <v>#VALUE!</v>
      </c>
      <c r="T17" cm="1">
        <f t="array" ref="T17">IF(fTbl14[[#This Row],[listlu]]=0,0,IF(INDEX(Ltbl[Context],fTbl14[[#This Row],[listlu]],1)="ALL",1,2))</f>
        <v>0</v>
      </c>
      <c r="U17" s="29"/>
    </row>
    <row r="18" spans="1:21" ht="15" customHeight="1">
      <c r="A18" s="15" t="s">
        <v>28</v>
      </c>
      <c r="B18" t="s">
        <v>88</v>
      </c>
      <c r="C18" t="s">
        <v>89</v>
      </c>
      <c r="D18" s="1"/>
      <c r="E18" s="1">
        <v>0</v>
      </c>
      <c r="F18" s="1"/>
      <c r="G18" s="1"/>
      <c r="H18" s="1"/>
      <c r="I18" s="19" t="s">
        <v>90</v>
      </c>
      <c r="J18" s="28" t="s">
        <v>91</v>
      </c>
      <c r="K18" t="str">
        <f ca="1">IFERROR(IF(fTbl14[[#This Row],[LT]]="H",MID(fTbl14[[#This Row],[Hierarchy]],fTbl14[[#This Row],[pipe1]]+1,fTbl14[[#This Row],[pipe2]]-fTbl14[[#This Row],[pipe1]]-1),LEFT(fTbl14[[#This Row],[Hierarchy]],FIND("|",fTbl14[[#This Row],[Hierarchy]])-1)),"")</f>
        <v>wOrders</v>
      </c>
      <c r="L18" s="1">
        <f ca="1">IF(ROW()=3,0,OFFSET(fTbl14[[#This Row],[Lev]],-1,0)+IF(OFFSET(fTbl14[[#This Row],[LT]],-1,0)="H",1,IF(fTbl14[[#This Row],[LT]]="!H",-1,0)))</f>
        <v>1</v>
      </c>
      <c r="M18">
        <f>IF(RIGHT(fTbl14[[#This Row],[valid]],4)&lt;&gt;"list",0,IFERROR(MATCH(fTbl14[[#This Row],[Context]]&amp;"|"&amp;fTbl14[[#This Row],[Field]],Ltbl[ind],0),IFERROR(MATCH("ALL|"&amp;fTbl14[[#This Row],[Field]],Ltbl[ind],0),-1)))</f>
        <v>0</v>
      </c>
      <c r="N18" t="str" cm="1">
        <f t="array" ref="N18">IF(fTbl14[[#This Row],[listlu]]&lt;1,"",IF(INDEX(Ltbl[Generic],fTbl14[[#This Row],[listlu]])="","",INDEX(Ltbl[Generic],fTbl14[[#This Row],[listlu]])))</f>
        <v/>
      </c>
      <c r="O18">
        <f>IF(AND(fTbl14[[#This Row],[listlu]],ISERROR(FIND(",",fTbl14[[#This Row],[liMatch]])),fTbl14[[#This Row],[liMatch]]&lt;&gt;""),1,0)</f>
        <v>0</v>
      </c>
      <c r="P18">
        <f>IF(AND(fTbl14[[#This Row],[LT]]="Ref",ISNA(MATCH(fTbl14[[#This Row],[Field]],rTbl[Ref],0))),1,0)</f>
        <v>0</v>
      </c>
      <c r="Q18"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18">
        <f ca="1">FIND("~",SUBSTITUTE(fTbl14[[#This Row],[Hierarchy]],"|","~",1))</f>
        <v>8</v>
      </c>
      <c r="S18" t="e">
        <f ca="1">FIND("~",SUBSTITUTE(fTbl14[[#This Row],[Hierarchy]],"|","~",2))</f>
        <v>#VALUE!</v>
      </c>
      <c r="T18" cm="1">
        <f t="array" ref="T18">IF(fTbl14[[#This Row],[listlu]]=0,0,IF(INDEX(Ltbl[Context],fTbl14[[#This Row],[listlu]],1)="ALL",1,2))</f>
        <v>0</v>
      </c>
      <c r="U18" s="29"/>
    </row>
    <row r="19" spans="1:21">
      <c r="A19" s="15" t="s">
        <v>25</v>
      </c>
      <c r="B19" t="s">
        <v>101</v>
      </c>
      <c r="D19" s="1"/>
      <c r="E19" s="1"/>
      <c r="F19" s="1"/>
      <c r="G19" s="1"/>
      <c r="H19" s="1"/>
      <c r="I19" s="19" t="s">
        <v>102</v>
      </c>
      <c r="J19" s="28"/>
      <c r="K19" t="str">
        <f ca="1">IFERROR(IF(fTbl14[[#This Row],[LT]]="H",MID(fTbl14[[#This Row],[Hierarchy]],fTbl14[[#This Row],[pipe1]]+1,fTbl14[[#This Row],[pipe2]]-fTbl14[[#This Row],[pipe1]]-1),LEFT(fTbl14[[#This Row],[Hierarchy]],FIND("|",fTbl14[[#This Row],[Hierarchy]])-1)),"")</f>
        <v>wOrders</v>
      </c>
      <c r="L19" s="1">
        <f ca="1">IF(ROW()=3,0,OFFSET(fTbl14[[#This Row],[Lev]],-1,0)+IF(OFFSET(fTbl14[[#This Row],[LT]],-1,0)="H",1,IF(fTbl14[[#This Row],[LT]]="!H",-1,0)))</f>
        <v>1</v>
      </c>
      <c r="M19">
        <f>IF(RIGHT(fTbl14[[#This Row],[valid]],4)&lt;&gt;"list",0,IFERROR(MATCH(fTbl14[[#This Row],[Context]]&amp;"|"&amp;fTbl14[[#This Row],[Field]],Ltbl[ind],0),IFERROR(MATCH("ALL|"&amp;fTbl14[[#This Row],[Field]],Ltbl[ind],0),-1)))</f>
        <v>0</v>
      </c>
      <c r="N19" t="str" cm="1">
        <f t="array" ref="N19">IF(fTbl14[[#This Row],[listlu]]&lt;1,"",IF(INDEX(Ltbl[Generic],fTbl14[[#This Row],[listlu]])="","",INDEX(Ltbl[Generic],fTbl14[[#This Row],[listlu]])))</f>
        <v/>
      </c>
      <c r="O19">
        <f>IF(AND(fTbl14[[#This Row],[listlu]],ISERROR(FIND(",",fTbl14[[#This Row],[liMatch]])),fTbl14[[#This Row],[liMatch]]&lt;&gt;""),1,0)</f>
        <v>0</v>
      </c>
      <c r="P19">
        <f>IF(AND(fTbl14[[#This Row],[LT]]="Ref",ISNA(MATCH(fTbl14[[#This Row],[Field]],rTbl[Ref],0))),1,0)</f>
        <v>0</v>
      </c>
      <c r="Q19"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19">
        <f ca="1">FIND("~",SUBSTITUTE(fTbl14[[#This Row],[Hierarchy]],"|","~",1))</f>
        <v>8</v>
      </c>
      <c r="S19" t="e">
        <f ca="1">FIND("~",SUBSTITUTE(fTbl14[[#This Row],[Hierarchy]],"|","~",2))</f>
        <v>#VALUE!</v>
      </c>
      <c r="T19" cm="1">
        <f t="array" ref="T19">IF(fTbl14[[#This Row],[listlu]]=0,0,IF(INDEX(Ltbl[Context],fTbl14[[#This Row],[listlu]],1)="ALL",1,2))</f>
        <v>0</v>
      </c>
      <c r="U19" s="29"/>
    </row>
    <row r="20" spans="1:21">
      <c r="A20" s="15" t="s">
        <v>28</v>
      </c>
      <c r="B20" t="s">
        <v>103</v>
      </c>
      <c r="C20" t="s">
        <v>30</v>
      </c>
      <c r="D20" s="1">
        <v>20</v>
      </c>
      <c r="E20" s="1">
        <v>1</v>
      </c>
      <c r="F20" s="1"/>
      <c r="G20" s="1"/>
      <c r="H20" s="1" t="s">
        <v>104</v>
      </c>
      <c r="I20" s="19" t="s">
        <v>105</v>
      </c>
      <c r="J20" s="28" t="s">
        <v>45</v>
      </c>
      <c r="K20" t="str">
        <f ca="1">IFERROR(IF(fTbl14[[#This Row],[LT]]="H",MID(fTbl14[[#This Row],[Hierarchy]],fTbl14[[#This Row],[pipe1]]+1,fTbl14[[#This Row],[pipe2]]-fTbl14[[#This Row],[pipe1]]-1),LEFT(fTbl14[[#This Row],[Hierarchy]],FIND("|",fTbl14[[#This Row],[Hierarchy]])-1)),"")</f>
        <v>wOrders</v>
      </c>
      <c r="L20" s="1">
        <f ca="1">IF(ROW()=3,0,OFFSET(fTbl14[[#This Row],[Lev]],-1,0)+IF(OFFSET(fTbl14[[#This Row],[LT]],-1,0)="H",1,IF(fTbl14[[#This Row],[LT]]="!H",-1,0)))</f>
        <v>1</v>
      </c>
      <c r="M20">
        <f>IF(RIGHT(fTbl14[[#This Row],[valid]],4)&lt;&gt;"list",0,IFERROR(MATCH(fTbl14[[#This Row],[Context]]&amp;"|"&amp;fTbl14[[#This Row],[Field]],Ltbl[ind],0),IFERROR(MATCH("ALL|"&amp;fTbl14[[#This Row],[Field]],Ltbl[ind],0),-1)))</f>
        <v>0</v>
      </c>
      <c r="N20" t="str" cm="1">
        <f t="array" ref="N20">IF(fTbl14[[#This Row],[listlu]]&lt;1,"",IF(INDEX(Ltbl[Generic],fTbl14[[#This Row],[listlu]])="","",INDEX(Ltbl[Generic],fTbl14[[#This Row],[listlu]])))</f>
        <v/>
      </c>
      <c r="O20">
        <f>IF(AND(fTbl14[[#This Row],[listlu]],ISERROR(FIND(",",fTbl14[[#This Row],[liMatch]])),fTbl14[[#This Row],[liMatch]]&lt;&gt;""),1,0)</f>
        <v>0</v>
      </c>
      <c r="P20">
        <f>IF(AND(fTbl14[[#This Row],[LT]]="Ref",ISNA(MATCH(fTbl14[[#This Row],[Field]],rTbl[Ref],0))),1,0)</f>
        <v>0</v>
      </c>
      <c r="Q20"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20">
        <f ca="1">FIND("~",SUBSTITUTE(fTbl14[[#This Row],[Hierarchy]],"|","~",1))</f>
        <v>8</v>
      </c>
      <c r="S20" t="e">
        <f ca="1">FIND("~",SUBSTITUTE(fTbl14[[#This Row],[Hierarchy]],"|","~",2))</f>
        <v>#VALUE!</v>
      </c>
      <c r="T20" cm="1">
        <f t="array" ref="T20">IF(fTbl14[[#This Row],[listlu]]=0,0,IF(INDEX(Ltbl[Context],fTbl14[[#This Row],[listlu]],1)="ALL",1,2))</f>
        <v>0</v>
      </c>
      <c r="U20" s="29"/>
    </row>
    <row r="21" spans="1:21">
      <c r="A21" s="15" t="s">
        <v>28</v>
      </c>
      <c r="B21" t="s">
        <v>107</v>
      </c>
      <c r="C21" t="s">
        <v>30</v>
      </c>
      <c r="D21" s="1">
        <v>35</v>
      </c>
      <c r="E21" s="1">
        <v>1</v>
      </c>
      <c r="F21" s="1"/>
      <c r="G21" s="1"/>
      <c r="H21" s="1"/>
      <c r="I21" s="19" t="s">
        <v>108</v>
      </c>
      <c r="J21" s="28" t="s">
        <v>109</v>
      </c>
      <c r="K21" t="str">
        <f ca="1">IFERROR(IF(fTbl14[[#This Row],[LT]]="H",MID(fTbl14[[#This Row],[Hierarchy]],fTbl14[[#This Row],[pipe1]]+1,fTbl14[[#This Row],[pipe2]]-fTbl14[[#This Row],[pipe1]]-1),LEFT(fTbl14[[#This Row],[Hierarchy]],FIND("|",fTbl14[[#This Row],[Hierarchy]])-1)),"")</f>
        <v>wOrders</v>
      </c>
      <c r="L21" s="1">
        <f ca="1">IF(ROW()=3,0,OFFSET(fTbl14[[#This Row],[Lev]],-1,0)+IF(OFFSET(fTbl14[[#This Row],[LT]],-1,0)="H",1,IF(fTbl14[[#This Row],[LT]]="!H",-1,0)))</f>
        <v>1</v>
      </c>
      <c r="M21">
        <f>IF(RIGHT(fTbl14[[#This Row],[valid]],4)&lt;&gt;"list",0,IFERROR(MATCH(fTbl14[[#This Row],[Context]]&amp;"|"&amp;fTbl14[[#This Row],[Field]],Ltbl[ind],0),IFERROR(MATCH("ALL|"&amp;fTbl14[[#This Row],[Field]],Ltbl[ind],0),-1)))</f>
        <v>0</v>
      </c>
      <c r="N21" t="str" cm="1">
        <f t="array" ref="N21">IF(fTbl14[[#This Row],[listlu]]&lt;1,"",IF(INDEX(Ltbl[Generic],fTbl14[[#This Row],[listlu]])="","",INDEX(Ltbl[Generic],fTbl14[[#This Row],[listlu]])))</f>
        <v/>
      </c>
      <c r="O21">
        <f>IF(AND(fTbl14[[#This Row],[listlu]],ISERROR(FIND(",",fTbl14[[#This Row],[liMatch]])),fTbl14[[#This Row],[liMatch]]&lt;&gt;""),1,0)</f>
        <v>0</v>
      </c>
      <c r="P21">
        <f>IF(AND(fTbl14[[#This Row],[LT]]="Ref",ISNA(MATCH(fTbl14[[#This Row],[Field]],rTbl[Ref],0))),1,0)</f>
        <v>0</v>
      </c>
      <c r="Q21"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21">
        <f ca="1">FIND("~",SUBSTITUTE(fTbl14[[#This Row],[Hierarchy]],"|","~",1))</f>
        <v>8</v>
      </c>
      <c r="S21" t="e">
        <f ca="1">FIND("~",SUBSTITUTE(fTbl14[[#This Row],[Hierarchy]],"|","~",2))</f>
        <v>#VALUE!</v>
      </c>
      <c r="T21" cm="1">
        <f t="array" ref="T21">IF(fTbl14[[#This Row],[listlu]]=0,0,IF(INDEX(Ltbl[Context],fTbl14[[#This Row],[listlu]],1)="ALL",1,2))</f>
        <v>0</v>
      </c>
      <c r="U21" s="29"/>
    </row>
    <row r="22" spans="1:21">
      <c r="A22" s="15" t="s">
        <v>28</v>
      </c>
      <c r="B22" t="s">
        <v>111</v>
      </c>
      <c r="C22" t="s">
        <v>30</v>
      </c>
      <c r="D22" s="1">
        <v>35</v>
      </c>
      <c r="E22" s="1">
        <v>0</v>
      </c>
      <c r="F22" s="1"/>
      <c r="G22" s="1"/>
      <c r="H22" s="1"/>
      <c r="I22" s="19" t="s">
        <v>108</v>
      </c>
      <c r="J22" s="28" t="s">
        <v>112</v>
      </c>
      <c r="K22" t="str">
        <f ca="1">IFERROR(IF(fTbl14[[#This Row],[LT]]="H",MID(fTbl14[[#This Row],[Hierarchy]],fTbl14[[#This Row],[pipe1]]+1,fTbl14[[#This Row],[pipe2]]-fTbl14[[#This Row],[pipe1]]-1),LEFT(fTbl14[[#This Row],[Hierarchy]],FIND("|",fTbl14[[#This Row],[Hierarchy]])-1)),"")</f>
        <v>wOrders</v>
      </c>
      <c r="L22" s="1">
        <f ca="1">IF(ROW()=3,0,OFFSET(fTbl14[[#This Row],[Lev]],-1,0)+IF(OFFSET(fTbl14[[#This Row],[LT]],-1,0)="H",1,IF(fTbl14[[#This Row],[LT]]="!H",-1,0)))</f>
        <v>1</v>
      </c>
      <c r="M22">
        <f>IF(RIGHT(fTbl14[[#This Row],[valid]],4)&lt;&gt;"list",0,IFERROR(MATCH(fTbl14[[#This Row],[Context]]&amp;"|"&amp;fTbl14[[#This Row],[Field]],Ltbl[ind],0),IFERROR(MATCH("ALL|"&amp;fTbl14[[#This Row],[Field]],Ltbl[ind],0),-1)))</f>
        <v>0</v>
      </c>
      <c r="N22" t="str" cm="1">
        <f t="array" ref="N22">IF(fTbl14[[#This Row],[listlu]]&lt;1,"",IF(INDEX(Ltbl[Generic],fTbl14[[#This Row],[listlu]])="","",INDEX(Ltbl[Generic],fTbl14[[#This Row],[listlu]])))</f>
        <v/>
      </c>
      <c r="O22">
        <f>IF(AND(fTbl14[[#This Row],[listlu]],ISERROR(FIND(",",fTbl14[[#This Row],[liMatch]])),fTbl14[[#This Row],[liMatch]]&lt;&gt;""),1,0)</f>
        <v>0</v>
      </c>
      <c r="P22">
        <f>IF(AND(fTbl14[[#This Row],[LT]]="Ref",ISNA(MATCH(fTbl14[[#This Row],[Field]],rTbl[Ref],0))),1,0)</f>
        <v>0</v>
      </c>
      <c r="Q22"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22">
        <f ca="1">FIND("~",SUBSTITUTE(fTbl14[[#This Row],[Hierarchy]],"|","~",1))</f>
        <v>8</v>
      </c>
      <c r="S22" t="e">
        <f ca="1">FIND("~",SUBSTITUTE(fTbl14[[#This Row],[Hierarchy]],"|","~",2))</f>
        <v>#VALUE!</v>
      </c>
      <c r="T22" cm="1">
        <f t="array" ref="T22">IF(fTbl14[[#This Row],[listlu]]=0,0,IF(INDEX(Ltbl[Context],fTbl14[[#This Row],[listlu]],1)="ALL",1,2))</f>
        <v>0</v>
      </c>
      <c r="U22" s="29"/>
    </row>
    <row r="23" spans="1:21">
      <c r="A23" s="15" t="s">
        <v>28</v>
      </c>
      <c r="B23" t="s">
        <v>117</v>
      </c>
      <c r="C23" t="s">
        <v>30</v>
      </c>
      <c r="D23" s="1">
        <v>250</v>
      </c>
      <c r="E23" s="1">
        <v>0</v>
      </c>
      <c r="F23" s="1"/>
      <c r="G23" s="1"/>
      <c r="H23" s="1"/>
      <c r="I23" s="19" t="s">
        <v>118</v>
      </c>
      <c r="J23" s="28" t="s">
        <v>119</v>
      </c>
      <c r="K23" t="str">
        <f ca="1">IFERROR(IF(fTbl14[[#This Row],[LT]]="H",MID(fTbl14[[#This Row],[Hierarchy]],fTbl14[[#This Row],[pipe1]]+1,fTbl14[[#This Row],[pipe2]]-fTbl14[[#This Row],[pipe1]]-1),LEFT(fTbl14[[#This Row],[Hierarchy]],FIND("|",fTbl14[[#This Row],[Hierarchy]])-1)),"")</f>
        <v>wOrders</v>
      </c>
      <c r="L23" s="1">
        <f ca="1">IF(ROW()=3,0,OFFSET(fTbl14[[#This Row],[Lev]],-1,0)+IF(OFFSET(fTbl14[[#This Row],[LT]],-1,0)="H",1,IF(fTbl14[[#This Row],[LT]]="!H",-1,0)))</f>
        <v>1</v>
      </c>
      <c r="M23">
        <f>IF(RIGHT(fTbl14[[#This Row],[valid]],4)&lt;&gt;"list",0,IFERROR(MATCH(fTbl14[[#This Row],[Context]]&amp;"|"&amp;fTbl14[[#This Row],[Field]],Ltbl[ind],0),IFERROR(MATCH("ALL|"&amp;fTbl14[[#This Row],[Field]],Ltbl[ind],0),-1)))</f>
        <v>0</v>
      </c>
      <c r="N23" t="str" cm="1">
        <f t="array" ref="N23">IF(fTbl14[[#This Row],[listlu]]&lt;1,"",IF(INDEX(Ltbl[Generic],fTbl14[[#This Row],[listlu]])="","",INDEX(Ltbl[Generic],fTbl14[[#This Row],[listlu]])))</f>
        <v/>
      </c>
      <c r="O23">
        <f>IF(AND(fTbl14[[#This Row],[listlu]],ISERROR(FIND(",",fTbl14[[#This Row],[liMatch]])),fTbl14[[#This Row],[liMatch]]&lt;&gt;""),1,0)</f>
        <v>0</v>
      </c>
      <c r="P23">
        <f>IF(AND(fTbl14[[#This Row],[LT]]="Ref",ISNA(MATCH(fTbl14[[#This Row],[Field]],rTbl[Ref],0))),1,0)</f>
        <v>0</v>
      </c>
      <c r="Q23"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23">
        <f ca="1">FIND("~",SUBSTITUTE(fTbl14[[#This Row],[Hierarchy]],"|","~",1))</f>
        <v>8</v>
      </c>
      <c r="S23" t="e">
        <f ca="1">FIND("~",SUBSTITUTE(fTbl14[[#This Row],[Hierarchy]],"|","~",2))</f>
        <v>#VALUE!</v>
      </c>
      <c r="T23" cm="1">
        <f t="array" ref="T23">IF(fTbl14[[#This Row],[listlu]]=0,0,IF(INDEX(Ltbl[Context],fTbl14[[#This Row],[listlu]],1)="ALL",1,2))</f>
        <v>0</v>
      </c>
      <c r="U23" s="29"/>
    </row>
    <row r="24" spans="1:21">
      <c r="A24" s="15" t="s">
        <v>21</v>
      </c>
      <c r="B24" t="s">
        <v>211</v>
      </c>
      <c r="D24" s="1"/>
      <c r="E24" s="1"/>
      <c r="F24" s="1"/>
      <c r="G24" s="1"/>
      <c r="H24" s="1"/>
      <c r="I24" s="19"/>
      <c r="J24" s="28"/>
      <c r="K24" t="str">
        <f ca="1">IFERROR(IF(fTbl14[[#This Row],[LT]]="H",MID(fTbl14[[#This Row],[Hierarchy]],fTbl14[[#This Row],[pipe1]]+1,fTbl14[[#This Row],[pipe2]]-fTbl14[[#This Row],[pipe1]]-1),LEFT(fTbl14[[#This Row],[Hierarchy]],FIND("|",fTbl14[[#This Row],[Hierarchy]])-1)),"")</f>
        <v>wOrders</v>
      </c>
      <c r="L24" s="1">
        <f ca="1">IF(ROW()=3,0,OFFSET(fTbl14[[#This Row],[Lev]],-1,0)+IF(OFFSET(fTbl14[[#This Row],[LT]],-1,0)="H",1,IF(fTbl14[[#This Row],[LT]]="!H",-1,0)))</f>
        <v>1</v>
      </c>
      <c r="M24">
        <f>IF(RIGHT(fTbl14[[#This Row],[valid]],4)&lt;&gt;"list",0,IFERROR(MATCH(fTbl14[[#This Row],[Context]]&amp;"|"&amp;fTbl14[[#This Row],[Field]],Ltbl[ind],0),IFERROR(MATCH("ALL|"&amp;fTbl14[[#This Row],[Field]],Ltbl[ind],0),-1)))</f>
        <v>0</v>
      </c>
      <c r="N24" t="str" cm="1">
        <f t="array" ref="N24">IF(fTbl14[[#This Row],[listlu]]&lt;1,"",IF(INDEX(Ltbl[Generic],fTbl14[[#This Row],[listlu]])="","",INDEX(Ltbl[Generic],fTbl14[[#This Row],[listlu]])))</f>
        <v/>
      </c>
      <c r="O24">
        <f>IF(AND(fTbl14[[#This Row],[listlu]],ISERROR(FIND(",",fTbl14[[#This Row],[liMatch]])),fTbl14[[#This Row],[liMatch]]&lt;&gt;""),1,0)</f>
        <v>0</v>
      </c>
      <c r="P24">
        <f>IF(AND(fTbl14[[#This Row],[LT]]="Ref",ISNA(MATCH(fTbl14[[#This Row],[Field]],rTbl[Ref],0))),1,0)</f>
        <v>0</v>
      </c>
      <c r="Q24"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FinishedGoods|wOrders|</v>
      </c>
      <c r="R24">
        <f ca="1">FIND("~",SUBSTITUTE(fTbl14[[#This Row],[Hierarchy]],"|","~",1))</f>
        <v>14</v>
      </c>
      <c r="S24">
        <f ca="1">FIND("~",SUBSTITUTE(fTbl14[[#This Row],[Hierarchy]],"|","~",2))</f>
        <v>22</v>
      </c>
      <c r="T24" cm="1">
        <f t="array" ref="T24">IF(fTbl14[[#This Row],[listlu]]=0,0,IF(INDEX(Ltbl[Context],fTbl14[[#This Row],[listlu]],1)="ALL",1,2))</f>
        <v>0</v>
      </c>
      <c r="U24" s="29"/>
    </row>
    <row r="25" spans="1:21">
      <c r="A25" s="15" t="s">
        <v>28</v>
      </c>
      <c r="B25" t="s">
        <v>146</v>
      </c>
      <c r="C25" t="s">
        <v>84</v>
      </c>
      <c r="D25" s="1"/>
      <c r="E25" s="1">
        <v>1</v>
      </c>
      <c r="F25" s="1"/>
      <c r="G25" s="1"/>
      <c r="H25" s="1"/>
      <c r="I25" s="19" t="s">
        <v>212</v>
      </c>
      <c r="J25" s="28" t="s">
        <v>86</v>
      </c>
      <c r="K25" t="str">
        <f ca="1">IFERROR(IF(fTbl14[[#This Row],[LT]]="H",MID(fTbl14[[#This Row],[Hierarchy]],fTbl14[[#This Row],[pipe1]]+1,fTbl14[[#This Row],[pipe2]]-fTbl14[[#This Row],[pipe1]]-1),LEFT(fTbl14[[#This Row],[Hierarchy]],FIND("|",fTbl14[[#This Row],[Hierarchy]])-1)),"")</f>
        <v>FinishedGoods</v>
      </c>
      <c r="L25" s="1">
        <f ca="1">IF(ROW()=3,0,OFFSET(fTbl14[[#This Row],[Lev]],-1,0)+IF(OFFSET(fTbl14[[#This Row],[LT]],-1,0)="H",1,IF(fTbl14[[#This Row],[LT]]="!H",-1,0)))</f>
        <v>2</v>
      </c>
      <c r="M25">
        <f>IF(RIGHT(fTbl14[[#This Row],[valid]],4)&lt;&gt;"list",0,IFERROR(MATCH(fTbl14[[#This Row],[Context]]&amp;"|"&amp;fTbl14[[#This Row],[Field]],Ltbl[ind],0),IFERROR(MATCH("ALL|"&amp;fTbl14[[#This Row],[Field]],Ltbl[ind],0),-1)))</f>
        <v>0</v>
      </c>
      <c r="N25" t="str" cm="1">
        <f t="array" ref="N25">IF(fTbl14[[#This Row],[listlu]]&lt;1,"",IF(INDEX(Ltbl[Generic],fTbl14[[#This Row],[listlu]])="","",INDEX(Ltbl[Generic],fTbl14[[#This Row],[listlu]])))</f>
        <v/>
      </c>
      <c r="O25">
        <f>IF(AND(fTbl14[[#This Row],[listlu]],ISERROR(FIND(",",fTbl14[[#This Row],[liMatch]])),fTbl14[[#This Row],[liMatch]]&lt;&gt;""),1,0)</f>
        <v>0</v>
      </c>
      <c r="P25">
        <f>IF(AND(fTbl14[[#This Row],[LT]]="Ref",ISNA(MATCH(fTbl14[[#This Row],[Field]],rTbl[Ref],0))),1,0)</f>
        <v>0</v>
      </c>
      <c r="Q25"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FinishedGoods|wOrders|</v>
      </c>
      <c r="R25">
        <f ca="1">FIND("~",SUBSTITUTE(fTbl14[[#This Row],[Hierarchy]],"|","~",1))</f>
        <v>14</v>
      </c>
      <c r="S25">
        <f ca="1">FIND("~",SUBSTITUTE(fTbl14[[#This Row],[Hierarchy]],"|","~",2))</f>
        <v>22</v>
      </c>
      <c r="T25" cm="1">
        <f t="array" ref="T25">IF(fTbl14[[#This Row],[listlu]]=0,0,IF(INDEX(Ltbl[Context],fTbl14[[#This Row],[listlu]],1)="ALL",1,2))</f>
        <v>0</v>
      </c>
      <c r="U25" s="29"/>
    </row>
    <row r="26" spans="1:21">
      <c r="A26" s="15" t="s">
        <v>28</v>
      </c>
      <c r="B26" t="s">
        <v>152</v>
      </c>
      <c r="C26" t="s">
        <v>30</v>
      </c>
      <c r="D26" s="1">
        <v>30</v>
      </c>
      <c r="E26" s="1">
        <v>1</v>
      </c>
      <c r="F26" s="1"/>
      <c r="G26" s="1"/>
      <c r="H26" s="1"/>
      <c r="I26" s="19" t="s">
        <v>213</v>
      </c>
      <c r="J26" s="28" t="s">
        <v>214</v>
      </c>
      <c r="K26" t="str">
        <f ca="1">IFERROR(IF(fTbl14[[#This Row],[LT]]="H",MID(fTbl14[[#This Row],[Hierarchy]],fTbl14[[#This Row],[pipe1]]+1,fTbl14[[#This Row],[pipe2]]-fTbl14[[#This Row],[pipe1]]-1),LEFT(fTbl14[[#This Row],[Hierarchy]],FIND("|",fTbl14[[#This Row],[Hierarchy]])-1)),"")</f>
        <v>FinishedGoods</v>
      </c>
      <c r="L26" s="1">
        <f ca="1">IF(ROW()=3,0,OFFSET(fTbl14[[#This Row],[Lev]],-1,0)+IF(OFFSET(fTbl14[[#This Row],[LT]],-1,0)="H",1,IF(fTbl14[[#This Row],[LT]]="!H",-1,0)))</f>
        <v>2</v>
      </c>
      <c r="M26">
        <f>IF(RIGHT(fTbl14[[#This Row],[valid]],4)&lt;&gt;"list",0,IFERROR(MATCH(fTbl14[[#This Row],[Context]]&amp;"|"&amp;fTbl14[[#This Row],[Field]],Ltbl[ind],0),IFERROR(MATCH("ALL|"&amp;fTbl14[[#This Row],[Field]],Ltbl[ind],0),-1)))</f>
        <v>0</v>
      </c>
      <c r="N26" t="str" cm="1">
        <f t="array" ref="N26">IF(fTbl14[[#This Row],[listlu]]&lt;1,"",IF(INDEX(Ltbl[Generic],fTbl14[[#This Row],[listlu]])="","",INDEX(Ltbl[Generic],fTbl14[[#This Row],[listlu]])))</f>
        <v/>
      </c>
      <c r="O26">
        <f>IF(AND(fTbl14[[#This Row],[listlu]],ISERROR(FIND(",",fTbl14[[#This Row],[liMatch]])),fTbl14[[#This Row],[liMatch]]&lt;&gt;""),1,0)</f>
        <v>0</v>
      </c>
      <c r="P26">
        <f>IF(AND(fTbl14[[#This Row],[LT]]="Ref",ISNA(MATCH(fTbl14[[#This Row],[Field]],rTbl[Ref],0))),1,0)</f>
        <v>0</v>
      </c>
      <c r="Q26"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FinishedGoods|wOrders|</v>
      </c>
      <c r="R26">
        <f ca="1">FIND("~",SUBSTITUTE(fTbl14[[#This Row],[Hierarchy]],"|","~",1))</f>
        <v>14</v>
      </c>
      <c r="S26">
        <f ca="1">FIND("~",SUBSTITUTE(fTbl14[[#This Row],[Hierarchy]],"|","~",2))</f>
        <v>22</v>
      </c>
      <c r="T26" cm="1">
        <f t="array" ref="T26">IF(fTbl14[[#This Row],[listlu]]=0,0,IF(INDEX(Ltbl[Context],fTbl14[[#This Row],[listlu]],1)="ALL",1,2))</f>
        <v>0</v>
      </c>
      <c r="U26" s="29"/>
    </row>
    <row r="27" spans="1:21">
      <c r="A27" s="15" t="s">
        <v>28</v>
      </c>
      <c r="B27" t="s">
        <v>163</v>
      </c>
      <c r="C27" t="s">
        <v>84</v>
      </c>
      <c r="D27" s="1"/>
      <c r="E27" s="1">
        <v>1</v>
      </c>
      <c r="F27" s="1"/>
      <c r="G27" s="1"/>
      <c r="H27" s="1" t="s">
        <v>215</v>
      </c>
      <c r="I27" s="19" t="s">
        <v>216</v>
      </c>
      <c r="J27" s="28" t="s">
        <v>217</v>
      </c>
      <c r="K27" t="str">
        <f ca="1">IFERROR(IF(fTbl14[[#This Row],[LT]]="H",MID(fTbl14[[#This Row],[Hierarchy]],fTbl14[[#This Row],[pipe1]]+1,fTbl14[[#This Row],[pipe2]]-fTbl14[[#This Row],[pipe1]]-1),LEFT(fTbl14[[#This Row],[Hierarchy]],FIND("|",fTbl14[[#This Row],[Hierarchy]])-1)),"")</f>
        <v>FinishedGoods</v>
      </c>
      <c r="L27" s="1">
        <f ca="1">IF(ROW()=3,0,OFFSET(fTbl14[[#This Row],[Lev]],-1,0)+IF(OFFSET(fTbl14[[#This Row],[LT]],-1,0)="H",1,IF(fTbl14[[#This Row],[LT]]="!H",-1,0)))</f>
        <v>2</v>
      </c>
      <c r="M27">
        <f>IF(RIGHT(fTbl14[[#This Row],[valid]],4)&lt;&gt;"list",0,IFERROR(MATCH(fTbl14[[#This Row],[Context]]&amp;"|"&amp;fTbl14[[#This Row],[Field]],Ltbl[ind],0),IFERROR(MATCH("ALL|"&amp;fTbl14[[#This Row],[Field]],Ltbl[ind],0),-1)))</f>
        <v>0</v>
      </c>
      <c r="N27" t="str" cm="1">
        <f t="array" ref="N27">IF(fTbl14[[#This Row],[listlu]]&lt;1,"",IF(INDEX(Ltbl[Generic],fTbl14[[#This Row],[listlu]])="","",INDEX(Ltbl[Generic],fTbl14[[#This Row],[listlu]])))</f>
        <v/>
      </c>
      <c r="O27">
        <f>IF(AND(fTbl14[[#This Row],[listlu]],ISERROR(FIND(",",fTbl14[[#This Row],[liMatch]])),fTbl14[[#This Row],[liMatch]]&lt;&gt;""),1,0)</f>
        <v>0</v>
      </c>
      <c r="P27">
        <f>IF(AND(fTbl14[[#This Row],[LT]]="Ref",ISNA(MATCH(fTbl14[[#This Row],[Field]],rTbl[Ref],0))),1,0)</f>
        <v>0</v>
      </c>
      <c r="Q27"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FinishedGoods|wOrders|</v>
      </c>
      <c r="R27">
        <f ca="1">FIND("~",SUBSTITUTE(fTbl14[[#This Row],[Hierarchy]],"|","~",1))</f>
        <v>14</v>
      </c>
      <c r="S27">
        <f ca="1">FIND("~",SUBSTITUTE(fTbl14[[#This Row],[Hierarchy]],"|","~",2))</f>
        <v>22</v>
      </c>
      <c r="T27" cm="1">
        <f t="array" ref="T27">IF(fTbl14[[#This Row],[listlu]]=0,0,IF(INDEX(Ltbl[Context],fTbl14[[#This Row],[listlu]],1)="ALL",1,2))</f>
        <v>0</v>
      </c>
      <c r="U27" s="29"/>
    </row>
    <row r="28" spans="1:21">
      <c r="A28" s="15" t="s">
        <v>28</v>
      </c>
      <c r="B28" t="s">
        <v>98</v>
      </c>
      <c r="C28" t="s">
        <v>94</v>
      </c>
      <c r="D28" s="1"/>
      <c r="E28" s="1">
        <v>0</v>
      </c>
      <c r="F28" s="1"/>
      <c r="G28" s="1"/>
      <c r="H28" s="1"/>
      <c r="I28" s="19" t="s">
        <v>218</v>
      </c>
      <c r="J28" s="27" t="s">
        <v>96</v>
      </c>
      <c r="K28" t="str">
        <f ca="1">IFERROR(IF(fTbl14[[#This Row],[LT]]="H",MID(fTbl14[[#This Row],[Hierarchy]],fTbl14[[#This Row],[pipe1]]+1,fTbl14[[#This Row],[pipe2]]-fTbl14[[#This Row],[pipe1]]-1),LEFT(fTbl14[[#This Row],[Hierarchy]],FIND("|",fTbl14[[#This Row],[Hierarchy]])-1)),"")</f>
        <v>FinishedGoods</v>
      </c>
      <c r="L28" s="1">
        <f ca="1">IF(ROW()=3,0,OFFSET(fTbl14[[#This Row],[Lev]],-1,0)+IF(OFFSET(fTbl14[[#This Row],[LT]],-1,0)="H",1,IF(fTbl14[[#This Row],[LT]]="!H",-1,0)))</f>
        <v>2</v>
      </c>
      <c r="M28">
        <f>IF(RIGHT(fTbl14[[#This Row],[valid]],4)&lt;&gt;"list",0,IFERROR(MATCH(fTbl14[[#This Row],[Context]]&amp;"|"&amp;fTbl14[[#This Row],[Field]],Ltbl[ind],0),IFERROR(MATCH("ALL|"&amp;fTbl14[[#This Row],[Field]],Ltbl[ind],0),-1)))</f>
        <v>0</v>
      </c>
      <c r="N28" t="str" cm="1">
        <f t="array" ref="N28">IF(fTbl14[[#This Row],[listlu]]&lt;1,"",IF(INDEX(Ltbl[Generic],fTbl14[[#This Row],[listlu]])="","",INDEX(Ltbl[Generic],fTbl14[[#This Row],[listlu]])))</f>
        <v/>
      </c>
      <c r="O28">
        <f>IF(AND(fTbl14[[#This Row],[listlu]],ISERROR(FIND(",",fTbl14[[#This Row],[liMatch]])),fTbl14[[#This Row],[liMatch]]&lt;&gt;""),1,0)</f>
        <v>0</v>
      </c>
      <c r="P28">
        <f>IF(AND(fTbl14[[#This Row],[LT]]="Ref",ISNA(MATCH(fTbl14[[#This Row],[Field]],rTbl[Ref],0))),1,0)</f>
        <v>0</v>
      </c>
      <c r="Q28"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FinishedGoods|wOrders|</v>
      </c>
      <c r="R28">
        <f ca="1">FIND("~",SUBSTITUTE(fTbl14[[#This Row],[Hierarchy]],"|","~",1))</f>
        <v>14</v>
      </c>
      <c r="S28">
        <f ca="1">FIND("~",SUBSTITUTE(fTbl14[[#This Row],[Hierarchy]],"|","~",2))</f>
        <v>22</v>
      </c>
      <c r="T28" cm="1">
        <f t="array" ref="T28">IF(fTbl14[[#This Row],[listlu]]=0,0,IF(INDEX(Ltbl[Context],fTbl14[[#This Row],[listlu]],1)="ALL",1,2))</f>
        <v>0</v>
      </c>
      <c r="U28" s="29"/>
    </row>
    <row r="29" spans="1:21">
      <c r="A29" s="15" t="s">
        <v>28</v>
      </c>
      <c r="B29" t="s">
        <v>219</v>
      </c>
      <c r="C29" t="s">
        <v>84</v>
      </c>
      <c r="D29" s="1"/>
      <c r="E29" s="1">
        <v>0</v>
      </c>
      <c r="F29" s="1"/>
      <c r="G29" s="1"/>
      <c r="H29" s="1"/>
      <c r="I29" s="47" t="s">
        <v>220</v>
      </c>
      <c r="J29" s="48" t="s">
        <v>221</v>
      </c>
      <c r="K29" t="str">
        <f ca="1">IFERROR(IF(fTbl14[[#This Row],[LT]]="H",MID(fTbl14[[#This Row],[Hierarchy]],fTbl14[[#This Row],[pipe1]]+1,fTbl14[[#This Row],[pipe2]]-fTbl14[[#This Row],[pipe1]]-1),LEFT(fTbl14[[#This Row],[Hierarchy]],FIND("|",fTbl14[[#This Row],[Hierarchy]])-1)),"")</f>
        <v>FinishedGoods</v>
      </c>
      <c r="L29" s="1">
        <f ca="1">IF(ROW()=3,0,OFFSET(fTbl14[[#This Row],[Lev]],-1,0)+IF(OFFSET(fTbl14[[#This Row],[LT]],-1,0)="H",1,IF(fTbl14[[#This Row],[LT]]="!H",-1,0)))</f>
        <v>2</v>
      </c>
      <c r="M29">
        <f>IF(RIGHT(fTbl14[[#This Row],[valid]],4)&lt;&gt;"list",0,IFERROR(MATCH(fTbl14[[#This Row],[Context]]&amp;"|"&amp;fTbl14[[#This Row],[Field]],Ltbl[ind],0),IFERROR(MATCH("ALL|"&amp;fTbl14[[#This Row],[Field]],Ltbl[ind],0),-1)))</f>
        <v>0</v>
      </c>
      <c r="N29" t="str" cm="1">
        <f t="array" ref="N29">IF(fTbl14[[#This Row],[listlu]]&lt;1,"",IF(INDEX(Ltbl[Generic],fTbl14[[#This Row],[listlu]])="","",INDEX(Ltbl[Generic],fTbl14[[#This Row],[listlu]])))</f>
        <v/>
      </c>
      <c r="O29">
        <f>IF(AND(fTbl14[[#This Row],[listlu]],ISERROR(FIND(",",fTbl14[[#This Row],[liMatch]])),fTbl14[[#This Row],[liMatch]]&lt;&gt;""),1,0)</f>
        <v>0</v>
      </c>
      <c r="P29">
        <f>IF(AND(fTbl14[[#This Row],[LT]]="Ref",ISNA(MATCH(fTbl14[[#This Row],[Field]],rTbl[Ref],0))),1,0)</f>
        <v>0</v>
      </c>
      <c r="Q29"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FinishedGoods|wOrders|</v>
      </c>
      <c r="R29">
        <f ca="1">FIND("~",SUBSTITUTE(fTbl14[[#This Row],[Hierarchy]],"|","~",1))</f>
        <v>14</v>
      </c>
      <c r="S29">
        <f ca="1">FIND("~",SUBSTITUTE(fTbl14[[#This Row],[Hierarchy]],"|","~",2))</f>
        <v>22</v>
      </c>
      <c r="T29" cm="1">
        <f t="array" ref="T29">IF(fTbl14[[#This Row],[listlu]]=0,0,IF(INDEX(Ltbl[Context],fTbl14[[#This Row],[listlu]],1)="ALL",1,2))</f>
        <v>0</v>
      </c>
      <c r="U29" s="29"/>
    </row>
    <row r="30" spans="1:21">
      <c r="A30" s="15" t="s">
        <v>21</v>
      </c>
      <c r="B30" t="s">
        <v>222</v>
      </c>
      <c r="D30" s="1"/>
      <c r="E30" s="1">
        <v>1</v>
      </c>
      <c r="F30" s="1" t="s">
        <v>23</v>
      </c>
      <c r="G30" s="1"/>
      <c r="H30" s="1"/>
      <c r="I30" s="19" t="s">
        <v>223</v>
      </c>
      <c r="J30" s="27"/>
      <c r="K30" t="str">
        <f ca="1">IFERROR(IF(fTbl14[[#This Row],[LT]]="H",MID(fTbl14[[#This Row],[Hierarchy]],fTbl14[[#This Row],[pipe1]]+1,fTbl14[[#This Row],[pipe2]]-fTbl14[[#This Row],[pipe1]]-1),LEFT(fTbl14[[#This Row],[Hierarchy]],FIND("|",fTbl14[[#This Row],[Hierarchy]])-1)),"")</f>
        <v>FinishedGoods</v>
      </c>
      <c r="L30" s="1">
        <f ca="1">IF(ROW()=3,0,OFFSET(fTbl14[[#This Row],[Lev]],-1,0)+IF(OFFSET(fTbl14[[#This Row],[LT]],-1,0)="H",1,IF(fTbl14[[#This Row],[LT]]="!H",-1,0)))</f>
        <v>2</v>
      </c>
      <c r="M30">
        <f>IF(RIGHT(fTbl14[[#This Row],[valid]],4)&lt;&gt;"list",0,IFERROR(MATCH(fTbl14[[#This Row],[Context]]&amp;"|"&amp;fTbl14[[#This Row],[Field]],Ltbl[ind],0),IFERROR(MATCH("ALL|"&amp;fTbl14[[#This Row],[Field]],Ltbl[ind],0),-1)))</f>
        <v>0</v>
      </c>
      <c r="N30" t="str" cm="1">
        <f t="array" ref="N30">IF(fTbl14[[#This Row],[listlu]]&lt;1,"",IF(INDEX(Ltbl[Generic],fTbl14[[#This Row],[listlu]])="","",INDEX(Ltbl[Generic],fTbl14[[#This Row],[listlu]])))</f>
        <v/>
      </c>
      <c r="O30">
        <f>IF(AND(fTbl14[[#This Row],[listlu]],ISERROR(FIND(",",fTbl14[[#This Row],[liMatch]])),fTbl14[[#This Row],[liMatch]]&lt;&gt;""),1,0)</f>
        <v>0</v>
      </c>
      <c r="P30">
        <f>IF(AND(fTbl14[[#This Row],[LT]]="Ref",ISNA(MATCH(fTbl14[[#This Row],[Field]],rTbl[Ref],0))),1,0)</f>
        <v>0</v>
      </c>
      <c r="Q30"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FGParts|FinishedGoods|wOrders|</v>
      </c>
      <c r="R30">
        <f ca="1">FIND("~",SUBSTITUTE(fTbl14[[#This Row],[Hierarchy]],"|","~",1))</f>
        <v>8</v>
      </c>
      <c r="S30">
        <f ca="1">FIND("~",SUBSTITUTE(fTbl14[[#This Row],[Hierarchy]],"|","~",2))</f>
        <v>22</v>
      </c>
      <c r="T30" cm="1">
        <f t="array" ref="T30">IF(fTbl14[[#This Row],[listlu]]=0,0,IF(INDEX(Ltbl[Context],fTbl14[[#This Row],[listlu]],1)="ALL",1,2))</f>
        <v>0</v>
      </c>
      <c r="U30" s="29"/>
    </row>
    <row r="31" spans="1:21">
      <c r="A31" s="15" t="s">
        <v>28</v>
      </c>
      <c r="B31" t="s">
        <v>152</v>
      </c>
      <c r="C31" t="s">
        <v>30</v>
      </c>
      <c r="D31" s="1">
        <v>30</v>
      </c>
      <c r="E31" s="1">
        <v>1</v>
      </c>
      <c r="F31" s="1">
        <v>1</v>
      </c>
      <c r="G31" s="1"/>
      <c r="H31" s="1"/>
      <c r="I31" s="19" t="s">
        <v>224</v>
      </c>
      <c r="J31" s="27" t="s">
        <v>225</v>
      </c>
      <c r="K31" t="str">
        <f ca="1">IFERROR(IF(fTbl14[[#This Row],[LT]]="H",MID(fTbl14[[#This Row],[Hierarchy]],fTbl14[[#This Row],[pipe1]]+1,fTbl14[[#This Row],[pipe2]]-fTbl14[[#This Row],[pipe1]]-1),LEFT(fTbl14[[#This Row],[Hierarchy]],FIND("|",fTbl14[[#This Row],[Hierarchy]])-1)),"")</f>
        <v>FGParts</v>
      </c>
      <c r="L31" s="1">
        <f ca="1">IF(ROW()=3,0,OFFSET(fTbl14[[#This Row],[Lev]],-1,0)+IF(OFFSET(fTbl14[[#This Row],[LT]],-1,0)="H",1,IF(fTbl14[[#This Row],[LT]]="!H",-1,0)))</f>
        <v>3</v>
      </c>
      <c r="M31">
        <f>IF(RIGHT(fTbl14[[#This Row],[valid]],4)&lt;&gt;"list",0,IFERROR(MATCH(fTbl14[[#This Row],[Context]]&amp;"|"&amp;fTbl14[[#This Row],[Field]],Ltbl[ind],0),IFERROR(MATCH("ALL|"&amp;fTbl14[[#This Row],[Field]],Ltbl[ind],0),-1)))</f>
        <v>0</v>
      </c>
      <c r="N31" t="str" cm="1">
        <f t="array" ref="N31">IF(fTbl14[[#This Row],[listlu]]&lt;1,"",IF(INDEX(Ltbl[Generic],fTbl14[[#This Row],[listlu]])="","",INDEX(Ltbl[Generic],fTbl14[[#This Row],[listlu]])))</f>
        <v/>
      </c>
      <c r="O31">
        <f>IF(AND(fTbl14[[#This Row],[listlu]],ISERROR(FIND(",",fTbl14[[#This Row],[liMatch]])),fTbl14[[#This Row],[liMatch]]&lt;&gt;""),1,0)</f>
        <v>0</v>
      </c>
      <c r="P31">
        <f>IF(AND(fTbl14[[#This Row],[LT]]="Ref",ISNA(MATCH(fTbl14[[#This Row],[Field]],rTbl[Ref],0))),1,0)</f>
        <v>0</v>
      </c>
      <c r="Q31"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FGParts|FinishedGoods|wOrders|</v>
      </c>
      <c r="R31">
        <f ca="1">FIND("~",SUBSTITUTE(fTbl14[[#This Row],[Hierarchy]],"|","~",1))</f>
        <v>8</v>
      </c>
      <c r="S31">
        <f ca="1">FIND("~",SUBSTITUTE(fTbl14[[#This Row],[Hierarchy]],"|","~",2))</f>
        <v>22</v>
      </c>
      <c r="T31" cm="1">
        <f t="array" ref="T31">IF(fTbl14[[#This Row],[listlu]]=0,0,IF(INDEX(Ltbl[Context],fTbl14[[#This Row],[listlu]],1)="ALL",1,2))</f>
        <v>0</v>
      </c>
      <c r="U31" s="29"/>
    </row>
    <row r="32" spans="1:21">
      <c r="A32" s="15" t="s">
        <v>28</v>
      </c>
      <c r="B32" t="s">
        <v>163</v>
      </c>
      <c r="C32" t="s">
        <v>84</v>
      </c>
      <c r="D32" s="1"/>
      <c r="E32" s="1">
        <v>1</v>
      </c>
      <c r="F32" s="1">
        <v>1</v>
      </c>
      <c r="G32" s="1"/>
      <c r="H32" s="1"/>
      <c r="I32" s="19" t="s">
        <v>226</v>
      </c>
      <c r="J32" s="27" t="s">
        <v>86</v>
      </c>
      <c r="K32" t="str">
        <f ca="1">IFERROR(IF(fTbl14[[#This Row],[LT]]="H",MID(fTbl14[[#This Row],[Hierarchy]],fTbl14[[#This Row],[pipe1]]+1,fTbl14[[#This Row],[pipe2]]-fTbl14[[#This Row],[pipe1]]-1),LEFT(fTbl14[[#This Row],[Hierarchy]],FIND("|",fTbl14[[#This Row],[Hierarchy]])-1)),"")</f>
        <v>FGParts</v>
      </c>
      <c r="L32" s="1">
        <f ca="1">IF(ROW()=3,0,OFFSET(fTbl14[[#This Row],[Lev]],-1,0)+IF(OFFSET(fTbl14[[#This Row],[LT]],-1,0)="H",1,IF(fTbl14[[#This Row],[LT]]="!H",-1,0)))</f>
        <v>3</v>
      </c>
      <c r="M32">
        <f>IF(RIGHT(fTbl14[[#This Row],[valid]],4)&lt;&gt;"list",0,IFERROR(MATCH(fTbl14[[#This Row],[Context]]&amp;"|"&amp;fTbl14[[#This Row],[Field]],Ltbl[ind],0),IFERROR(MATCH("ALL|"&amp;fTbl14[[#This Row],[Field]],Ltbl[ind],0),-1)))</f>
        <v>0</v>
      </c>
      <c r="N32" t="str" cm="1">
        <f t="array" ref="N32">IF(fTbl14[[#This Row],[listlu]]&lt;1,"",IF(INDEX(Ltbl[Generic],fTbl14[[#This Row],[listlu]])="","",INDEX(Ltbl[Generic],fTbl14[[#This Row],[listlu]])))</f>
        <v/>
      </c>
      <c r="O32">
        <f>IF(AND(fTbl14[[#This Row],[listlu]],ISERROR(FIND(",",fTbl14[[#This Row],[liMatch]])),fTbl14[[#This Row],[liMatch]]&lt;&gt;""),1,0)</f>
        <v>0</v>
      </c>
      <c r="P32">
        <f>IF(AND(fTbl14[[#This Row],[LT]]="Ref",ISNA(MATCH(fTbl14[[#This Row],[Field]],rTbl[Ref],0))),1,0)</f>
        <v>0</v>
      </c>
      <c r="Q32"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FGParts|FinishedGoods|wOrders|</v>
      </c>
      <c r="R32">
        <f ca="1">FIND("~",SUBSTITUTE(fTbl14[[#This Row],[Hierarchy]],"|","~",1))</f>
        <v>8</v>
      </c>
      <c r="S32">
        <f ca="1">FIND("~",SUBSTITUTE(fTbl14[[#This Row],[Hierarchy]],"|","~",2))</f>
        <v>22</v>
      </c>
      <c r="T32" cm="1">
        <f t="array" ref="T32">IF(fTbl14[[#This Row],[listlu]]=0,0,IF(INDEX(Ltbl[Context],fTbl14[[#This Row],[listlu]],1)="ALL",1,2))</f>
        <v>0</v>
      </c>
      <c r="U32" s="29"/>
    </row>
    <row r="33" spans="1:21">
      <c r="A33" s="15" t="s">
        <v>177</v>
      </c>
      <c r="B33" t="s">
        <v>222</v>
      </c>
      <c r="D33" s="1"/>
      <c r="E33" s="1"/>
      <c r="F33" s="1"/>
      <c r="G33" s="1"/>
      <c r="H33" s="1"/>
      <c r="I33" s="19"/>
      <c r="J33" s="27"/>
      <c r="K33" t="str">
        <f ca="1">IFERROR(IF(fTbl14[[#This Row],[LT]]="H",MID(fTbl14[[#This Row],[Hierarchy]],fTbl14[[#This Row],[pipe1]]+1,fTbl14[[#This Row],[pipe2]]-fTbl14[[#This Row],[pipe1]]-1),LEFT(fTbl14[[#This Row],[Hierarchy]],FIND("|",fTbl14[[#This Row],[Hierarchy]])-1)),"")</f>
        <v>FinishedGoods</v>
      </c>
      <c r="L33" s="1">
        <f ca="1">IF(ROW()=3,0,OFFSET(fTbl14[[#This Row],[Lev]],-1,0)+IF(OFFSET(fTbl14[[#This Row],[LT]],-1,0)="H",1,IF(fTbl14[[#This Row],[LT]]="!H",-1,0)))</f>
        <v>2</v>
      </c>
      <c r="M33">
        <f>IF(RIGHT(fTbl14[[#This Row],[valid]],4)&lt;&gt;"list",0,IFERROR(MATCH(fTbl14[[#This Row],[Context]]&amp;"|"&amp;fTbl14[[#This Row],[Field]],Ltbl[ind],0),IFERROR(MATCH("ALL|"&amp;fTbl14[[#This Row],[Field]],Ltbl[ind],0),-1)))</f>
        <v>0</v>
      </c>
      <c r="N33" t="str" cm="1">
        <f t="array" ref="N33">IF(fTbl14[[#This Row],[listlu]]&lt;1,"",IF(INDEX(Ltbl[Generic],fTbl14[[#This Row],[listlu]])="","",INDEX(Ltbl[Generic],fTbl14[[#This Row],[listlu]])))</f>
        <v/>
      </c>
      <c r="O33">
        <f>IF(AND(fTbl14[[#This Row],[listlu]],ISERROR(FIND(",",fTbl14[[#This Row],[liMatch]])),fTbl14[[#This Row],[liMatch]]&lt;&gt;""),1,0)</f>
        <v>0</v>
      </c>
      <c r="P33">
        <f>IF(AND(fTbl14[[#This Row],[LT]]="Ref",ISNA(MATCH(fTbl14[[#This Row],[Field]],rTbl[Ref],0))),1,0)</f>
        <v>0</v>
      </c>
      <c r="Q33"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FinishedGoods|wOrders|</v>
      </c>
      <c r="R33">
        <f ca="1">FIND("~",SUBSTITUTE(fTbl14[[#This Row],[Hierarchy]],"|","~",1))</f>
        <v>14</v>
      </c>
      <c r="S33">
        <f ca="1">FIND("~",SUBSTITUTE(fTbl14[[#This Row],[Hierarchy]],"|","~",2))</f>
        <v>22</v>
      </c>
      <c r="T33" cm="1">
        <f t="array" ref="T33">IF(fTbl14[[#This Row],[listlu]]=0,0,IF(INDEX(Ltbl[Context],fTbl14[[#This Row],[listlu]],1)="ALL",1,2))</f>
        <v>0</v>
      </c>
      <c r="U33" s="29"/>
    </row>
    <row r="34" spans="1:21">
      <c r="A34" s="15" t="s">
        <v>177</v>
      </c>
      <c r="B34" t="s">
        <v>211</v>
      </c>
      <c r="D34" s="1"/>
      <c r="E34" s="1"/>
      <c r="F34" s="1"/>
      <c r="G34" s="1"/>
      <c r="H34" s="1"/>
      <c r="I34" s="19"/>
      <c r="J34" s="28"/>
      <c r="K34" t="str">
        <f ca="1">IFERROR(IF(fTbl14[[#This Row],[LT]]="H",MID(fTbl14[[#This Row],[Hierarchy]],fTbl14[[#This Row],[pipe1]]+1,fTbl14[[#This Row],[pipe2]]-fTbl14[[#This Row],[pipe1]]-1),LEFT(fTbl14[[#This Row],[Hierarchy]],FIND("|",fTbl14[[#This Row],[Hierarchy]])-1)),"")</f>
        <v>wOrders</v>
      </c>
      <c r="L34" s="1">
        <f ca="1">IF(ROW()=3,0,OFFSET(fTbl14[[#This Row],[Lev]],-1,0)+IF(OFFSET(fTbl14[[#This Row],[LT]],-1,0)="H",1,IF(fTbl14[[#This Row],[LT]]="!H",-1,0)))</f>
        <v>1</v>
      </c>
      <c r="M34">
        <f>IF(RIGHT(fTbl14[[#This Row],[valid]],4)&lt;&gt;"list",0,IFERROR(MATCH(fTbl14[[#This Row],[Context]]&amp;"|"&amp;fTbl14[[#This Row],[Field]],Ltbl[ind],0),IFERROR(MATCH("ALL|"&amp;fTbl14[[#This Row],[Field]],Ltbl[ind],0),-1)))</f>
        <v>0</v>
      </c>
      <c r="N34" t="str" cm="1">
        <f t="array" ref="N34">IF(fTbl14[[#This Row],[listlu]]&lt;1,"",IF(INDEX(Ltbl[Generic],fTbl14[[#This Row],[listlu]])="","",INDEX(Ltbl[Generic],fTbl14[[#This Row],[listlu]])))</f>
        <v/>
      </c>
      <c r="O34">
        <f>IF(AND(fTbl14[[#This Row],[listlu]],ISERROR(FIND(",",fTbl14[[#This Row],[liMatch]])),fTbl14[[#This Row],[liMatch]]&lt;&gt;""),1,0)</f>
        <v>0</v>
      </c>
      <c r="P34">
        <f>IF(AND(fTbl14[[#This Row],[LT]]="Ref",ISNA(MATCH(fTbl14[[#This Row],[Field]],rTbl[Ref],0))),1,0)</f>
        <v>0</v>
      </c>
      <c r="Q34"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34">
        <f ca="1">FIND("~",SUBSTITUTE(fTbl14[[#This Row],[Hierarchy]],"|","~",1))</f>
        <v>8</v>
      </c>
      <c r="S34" t="e">
        <f ca="1">FIND("~",SUBSTITUTE(fTbl14[[#This Row],[Hierarchy]],"|","~",2))</f>
        <v>#VALUE!</v>
      </c>
      <c r="T34" cm="1">
        <f t="array" ref="T34">IF(fTbl14[[#This Row],[listlu]]=0,0,IF(INDEX(Ltbl[Context],fTbl14[[#This Row],[listlu]],1)="ALL",1,2))</f>
        <v>0</v>
      </c>
      <c r="U34" s="29"/>
    </row>
    <row r="35" spans="1:21">
      <c r="A35" s="15" t="s">
        <v>123</v>
      </c>
      <c r="B35" t="s">
        <v>142</v>
      </c>
      <c r="D35" s="1"/>
      <c r="E35" s="1">
        <v>0</v>
      </c>
      <c r="F35" s="1" t="s">
        <v>23</v>
      </c>
      <c r="G35" s="1"/>
      <c r="H35" s="1"/>
      <c r="I35" s="19" t="s">
        <v>227</v>
      </c>
      <c r="J35" s="28"/>
      <c r="K35" t="str">
        <f ca="1">IFERROR(IF(fTbl14[[#This Row],[LT]]="H",MID(fTbl14[[#This Row],[Hierarchy]],fTbl14[[#This Row],[pipe1]]+1,fTbl14[[#This Row],[pipe2]]-fTbl14[[#This Row],[pipe1]]-1),LEFT(fTbl14[[#This Row],[Hierarchy]],FIND("|",fTbl14[[#This Row],[Hierarchy]])-1)),"")</f>
        <v>wOrders</v>
      </c>
      <c r="L35" s="1">
        <f ca="1">IF(ROW()=3,0,OFFSET(fTbl14[[#This Row],[Lev]],-1,0)+IF(OFFSET(fTbl14[[#This Row],[LT]],-1,0)="H",1,IF(fTbl14[[#This Row],[LT]]="!H",-1,0)))</f>
        <v>1</v>
      </c>
      <c r="M35">
        <f>IF(RIGHT(fTbl14[[#This Row],[valid]],4)&lt;&gt;"list",0,IFERROR(MATCH(fTbl14[[#This Row],[Context]]&amp;"|"&amp;fTbl14[[#This Row],[Field]],Ltbl[ind],0),IFERROR(MATCH("ALL|"&amp;fTbl14[[#This Row],[Field]],Ltbl[ind],0),-1)))</f>
        <v>0</v>
      </c>
      <c r="N35" t="str" cm="1">
        <f t="array" ref="N35">IF(fTbl14[[#This Row],[listlu]]&lt;1,"",IF(INDEX(Ltbl[Generic],fTbl14[[#This Row],[listlu]])="","",INDEX(Ltbl[Generic],fTbl14[[#This Row],[listlu]])))</f>
        <v/>
      </c>
      <c r="O35">
        <f>IF(AND(fTbl14[[#This Row],[listlu]],ISERROR(FIND(",",fTbl14[[#This Row],[liMatch]])),fTbl14[[#This Row],[liMatch]]&lt;&gt;""),1,0)</f>
        <v>0</v>
      </c>
      <c r="P35">
        <f>IF(AND(fTbl14[[#This Row],[LT]]="Ref",ISNA(MATCH(fTbl14[[#This Row],[Field]],rTbl[Ref],0))),1,0)</f>
        <v>0</v>
      </c>
      <c r="Q35"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wOrders|</v>
      </c>
      <c r="R35">
        <f ca="1">FIND("~",SUBSTITUTE(fTbl14[[#This Row],[Hierarchy]],"|","~",1))</f>
        <v>8</v>
      </c>
      <c r="S35" t="e">
        <f ca="1">FIND("~",SUBSTITUTE(fTbl14[[#This Row],[Hierarchy]],"|","~",2))</f>
        <v>#VALUE!</v>
      </c>
      <c r="T35" cm="1">
        <f t="array" ref="T35">IF(fTbl14[[#This Row],[listlu]]=0,0,IF(INDEX(Ltbl[Context],fTbl14[[#This Row],[listlu]],1)="ALL",1,2))</f>
        <v>0</v>
      </c>
      <c r="U35" s="29"/>
    </row>
    <row r="36" spans="1:21">
      <c r="A36" s="15" t="s">
        <v>177</v>
      </c>
      <c r="B36" t="s">
        <v>205</v>
      </c>
      <c r="D36" s="1"/>
      <c r="E36" s="1"/>
      <c r="F36" s="1"/>
      <c r="G36" s="1"/>
      <c r="H36" s="1"/>
      <c r="I36" s="19"/>
      <c r="J36" s="28"/>
      <c r="K36" t="str">
        <f ca="1">IFERROR(IF(fTbl14[[#This Row],[LT]]="H",MID(fTbl14[[#This Row],[Hierarchy]],fTbl14[[#This Row],[pipe1]]+1,fTbl14[[#This Row],[pipe2]]-fTbl14[[#This Row],[pipe1]]-1),LEFT(fTbl14[[#This Row],[Hierarchy]],FIND("|",fTbl14[[#This Row],[Hierarchy]])-1)),"")</f>
        <v/>
      </c>
      <c r="L36" s="1">
        <f ca="1">IF(ROW()=3,0,OFFSET(fTbl14[[#This Row],[Lev]],-1,0)+IF(OFFSET(fTbl14[[#This Row],[LT]],-1,0)="H",1,IF(fTbl14[[#This Row],[LT]]="!H",-1,0)))</f>
        <v>0</v>
      </c>
      <c r="M36">
        <f>IF(RIGHT(fTbl14[[#This Row],[valid]],4)&lt;&gt;"list",0,IFERROR(MATCH(fTbl14[[#This Row],[Context]]&amp;"|"&amp;fTbl14[[#This Row],[Field]],Ltbl[ind],0),IFERROR(MATCH("ALL|"&amp;fTbl14[[#This Row],[Field]],Ltbl[ind],0),-1)))</f>
        <v>0</v>
      </c>
      <c r="N36" t="str" cm="1">
        <f t="array" ref="N36">IF(fTbl14[[#This Row],[listlu]]&lt;1,"",IF(INDEX(Ltbl[Generic],fTbl14[[#This Row],[listlu]])="","",INDEX(Ltbl[Generic],fTbl14[[#This Row],[listlu]])))</f>
        <v/>
      </c>
      <c r="O36">
        <f>IF(AND(fTbl14[[#This Row],[listlu]],ISERROR(FIND(",",fTbl14[[#This Row],[liMatch]])),fTbl14[[#This Row],[liMatch]]&lt;&gt;""),1,0)</f>
        <v>0</v>
      </c>
      <c r="P36">
        <f>IF(AND(fTbl14[[#This Row],[LT]]="Ref",ISNA(MATCH(fTbl14[[#This Row],[Field]],rTbl[Ref],0))),1,0)</f>
        <v>0</v>
      </c>
      <c r="Q36" t="str">
        <f ca="1">IF(ROW()=3,IF(fTbl14[[#This Row],[LT]]="H",fTbl14[[#This Row],[Field]]&amp;"|","|"),IF(fTbl14[[#This Row],[LT]]="H",fTbl14[[#This Row],[Field]]&amp;"|"&amp;OFFSET(fTbl14[[#This Row],[Hierarchy]],-1,0),IF(fTbl14[[#This Row],[LT]]&lt;&gt;"!H",OFFSET(fTbl14[[#This Row],[Hierarchy]],-1,0),RIGHT(OFFSET(fTbl14[[#This Row],[Hierarchy]],-1,0),LEN(OFFSET(fTbl14[[#This Row],[Hierarchy]],-1,0))-LEN(fTbl14[[#This Row],[Field]])-1))))</f>
        <v/>
      </c>
      <c r="R36" t="e">
        <f ca="1">FIND("~",SUBSTITUTE(fTbl14[[#This Row],[Hierarchy]],"|","~",1))</f>
        <v>#VALUE!</v>
      </c>
      <c r="S36" t="e">
        <f ca="1">FIND("~",SUBSTITUTE(fTbl14[[#This Row],[Hierarchy]],"|","~",2))</f>
        <v>#VALUE!</v>
      </c>
      <c r="T36" cm="1">
        <f t="array" ref="T36">IF(fTbl14[[#This Row],[listlu]]=0,0,IF(INDEX(Ltbl[Context],fTbl14[[#This Row],[listlu]],1)="ALL",1,2))</f>
        <v>0</v>
      </c>
      <c r="U36" s="29"/>
    </row>
  </sheetData>
  <conditionalFormatting sqref="A3:L36">
    <cfRule type="expression" dxfId="440" priority="11">
      <formula>($A3="!H")</formula>
    </cfRule>
    <cfRule type="expression" dxfId="439" priority="12">
      <formula>($A3="REF")</formula>
    </cfRule>
    <cfRule type="expression" dxfId="438" priority="13">
      <formula>($A3="C")</formula>
    </cfRule>
    <cfRule type="expression" dxfId="437" priority="14">
      <formula>($A3="H")</formula>
    </cfRule>
  </conditionalFormatting>
  <conditionalFormatting sqref="I1">
    <cfRule type="cellIs" dxfId="436" priority="6" operator="greaterThan">
      <formula>"@"</formula>
    </cfRule>
  </conditionalFormatting>
  <conditionalFormatting sqref="K3:K36">
    <cfRule type="expression" dxfId="435" priority="9">
      <formula>($A3="C")</formula>
    </cfRule>
    <cfRule type="expression" dxfId="434" priority="10">
      <formula>($A3="")</formula>
    </cfRule>
  </conditionalFormatting>
  <conditionalFormatting sqref="A3:A36">
    <cfRule type="expression" dxfId="433" priority="8">
      <formula>NOT(OR(A3="",A3="H",A3="E",A3="C",A3="!H",A3="Ref"))</formula>
    </cfRule>
  </conditionalFormatting>
  <conditionalFormatting sqref="H3:H36 J3:J36">
    <cfRule type="expression" dxfId="432" priority="7">
      <formula>($O3)</formula>
    </cfRule>
  </conditionalFormatting>
  <conditionalFormatting sqref="H3:H36">
    <cfRule type="expression" dxfId="431" priority="15">
      <formula>AND($M3&gt;0,$N3&lt;&gt;$J3)</formula>
    </cfRule>
    <cfRule type="expression" dxfId="430" priority="16">
      <formula>AND($M3&gt;0,$N3=$J3)</formula>
    </cfRule>
    <cfRule type="expression" dxfId="429" priority="17">
      <formula>($M3=-1)</formula>
    </cfRule>
  </conditionalFormatting>
  <conditionalFormatting sqref="J3:J36">
    <cfRule type="expression" dxfId="428" priority="2">
      <formula>AND(M3&gt;0,N3&lt;&gt;J3)</formula>
    </cfRule>
    <cfRule type="expression" dxfId="427" priority="18">
      <formula>AND($A3="E",$E3&lt;&gt;1)</formula>
    </cfRule>
  </conditionalFormatting>
  <conditionalFormatting sqref="B3:B36">
    <cfRule type="expression" dxfId="426" priority="1">
      <formula>$P3</formula>
    </cfRule>
    <cfRule type="expression" dxfId="425" priority="5">
      <formula>AND($A3="!H",$B3&lt;&gt;OFFSET($K3,-1,0))</formula>
    </cfRule>
    <cfRule type="expression" dxfId="424" priority="19">
      <formula>AND($A3="E",$E3=1)</formula>
    </cfRule>
  </conditionalFormatting>
  <conditionalFormatting sqref="G3:G36">
    <cfRule type="expression" dxfId="423" priority="3">
      <formula>($T3=2)</formula>
    </cfRule>
    <cfRule type="expression" dxfId="422" priority="4">
      <formula>($T3=1)</formula>
    </cfRule>
  </conditionalFormatting>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C483-A808-49EA-87B7-9D99D1EE03C5}">
  <sheetPr codeName="Sheet9">
    <tabColor rgb="FF7030A0"/>
  </sheetPr>
  <dimension ref="A1:U53"/>
  <sheetViews>
    <sheetView tabSelected="1" topLeftCell="A26" workbookViewId="0"/>
  </sheetViews>
  <sheetFormatPr defaultRowHeight="15"/>
  <cols>
    <col min="1" max="1" width="5" customWidth="1"/>
    <col min="2" max="2" width="23" customWidth="1"/>
    <col min="4" max="4" width="6.42578125" customWidth="1"/>
    <col min="5" max="6" width="4.7109375" customWidth="1"/>
    <col min="7" max="7" width="1" customWidth="1"/>
    <col min="8" max="8" width="10.140625" customWidth="1"/>
    <col min="9" max="9" width="56.7109375" customWidth="1"/>
    <col min="10" max="10" width="43.5703125" customWidth="1"/>
    <col min="11" max="11" width="13.42578125" customWidth="1"/>
    <col min="12" max="12" width="5.5703125" customWidth="1"/>
    <col min="13" max="16" width="9.140625" hidden="1" customWidth="1"/>
    <col min="17" max="17" width="27.7109375" hidden="1" customWidth="1"/>
    <col min="18" max="20" width="9.140625" hidden="1" customWidth="1"/>
    <col min="21" max="21" width="58.42578125" customWidth="1"/>
  </cols>
  <sheetData>
    <row r="1" spans="1:21" ht="32.25" customHeight="1">
      <c r="I1" s="16" t="str">
        <f>IF(COUNTIFS(fTbl9[LT],"H")&lt;&gt;COUNTIFS(fTbl9[LT],"!H"),"Header imbalance # H &lt;&gt; # !H","")</f>
        <v/>
      </c>
    </row>
    <row r="2" spans="1:21">
      <c r="A2" s="14" t="s">
        <v>0</v>
      </c>
      <c r="B2" s="11" t="s">
        <v>1</v>
      </c>
      <c r="C2" s="11" t="s">
        <v>2</v>
      </c>
      <c r="D2" s="12" t="s">
        <v>3</v>
      </c>
      <c r="E2" s="12" t="s">
        <v>4</v>
      </c>
      <c r="F2" s="12" t="s">
        <v>5</v>
      </c>
      <c r="G2" s="12" t="s">
        <v>6</v>
      </c>
      <c r="H2" s="12" t="s">
        <v>7</v>
      </c>
      <c r="I2" s="18" t="s">
        <v>8</v>
      </c>
      <c r="J2" s="17" t="s">
        <v>9</v>
      </c>
      <c r="K2" s="11" t="s">
        <v>10</v>
      </c>
      <c r="L2" s="12" t="s">
        <v>11</v>
      </c>
      <c r="M2" s="13" t="s">
        <v>12</v>
      </c>
      <c r="N2" s="13" t="s">
        <v>13</v>
      </c>
      <c r="O2" s="13" t="s">
        <v>14</v>
      </c>
      <c r="P2" s="13" t="s">
        <v>15</v>
      </c>
      <c r="Q2" s="13" t="s">
        <v>16</v>
      </c>
      <c r="R2" s="13" t="s">
        <v>17</v>
      </c>
      <c r="S2" s="13" t="s">
        <v>18</v>
      </c>
      <c r="T2" s="13" t="s">
        <v>19</v>
      </c>
      <c r="U2" s="13" t="s">
        <v>20</v>
      </c>
    </row>
    <row r="3" spans="1:21">
      <c r="A3" s="15" t="s">
        <v>21</v>
      </c>
      <c r="B3" t="s">
        <v>228</v>
      </c>
      <c r="D3" s="1"/>
      <c r="E3" s="1">
        <v>1</v>
      </c>
      <c r="F3" s="1">
        <v>1</v>
      </c>
      <c r="G3" s="1"/>
      <c r="H3" s="1"/>
      <c r="I3" s="19"/>
      <c r="J3" s="28"/>
      <c r="K3" t="str">
        <f ca="1">IFERROR(IF(fTbl9[[#This Row],[LT]]="H",MID(fTbl9[[#This Row],[Hierarchy]],fTbl9[[#This Row],[pipe1]]+1,fTbl9[[#This Row],[pipe2]]-fTbl9[[#This Row],[pipe1]]-1),LEFT(fTbl9[[#This Row],[Hierarchy]],FIND("|",fTbl9[[#This Row],[Hierarchy]])-1)),"")</f>
        <v/>
      </c>
      <c r="L3" s="1">
        <f ca="1">IF(ROW()=3,0,OFFSET(fTbl9[[#This Row],[Lev]],-1,0)+IF(OFFSET(fTbl9[[#This Row],[LT]],-1,0)="H",1,IF(fTbl9[[#This Row],[LT]]="!H",-1,0)))</f>
        <v>0</v>
      </c>
      <c r="M3">
        <f>IF(RIGHT(fTbl9[[#This Row],[valid]],4)&lt;&gt;"list",0,IFERROR(MATCH(fTbl9[[#This Row],[Context]]&amp;"|"&amp;fTbl9[[#This Row],[Field]],Ltbl[ind],0),IFERROR(MATCH("ALL|"&amp;fTbl9[[#This Row],[Field]],Ltbl[ind],0),-1)))</f>
        <v>0</v>
      </c>
      <c r="N3" t="str" cm="1">
        <f t="array" ref="N3">IF(fTbl9[[#This Row],[listlu]]&lt;1,"",IF(INDEX(Ltbl[Generic],fTbl9[[#This Row],[listlu]])="","",INDEX(Ltbl[Generic],fTbl9[[#This Row],[listlu]])))</f>
        <v/>
      </c>
      <c r="O3">
        <f>IF(AND(fTbl9[[#This Row],[listlu]],ISERROR(FIND(",",fTbl9[[#This Row],[liMatch]])),fTbl9[[#This Row],[liMatch]]&lt;&gt;""),1,0)</f>
        <v>0</v>
      </c>
      <c r="P3">
        <f>IF(AND(fTbl9[[#This Row],[LT]]="Ref",ISNA(MATCH(fTbl9[[#This Row],[Field]],rTbl[Ref],0))),1,0)</f>
        <v>0</v>
      </c>
      <c r="Q3"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3">
        <f ca="1">FIND("~",SUBSTITUTE(fTbl9[[#This Row],[Hierarchy]],"|","~",1))</f>
        <v>7</v>
      </c>
      <c r="S3" t="e">
        <f ca="1">FIND("~",SUBSTITUTE(fTbl9[[#This Row],[Hierarchy]],"|","~",2))</f>
        <v>#VALUE!</v>
      </c>
      <c r="T3" cm="1">
        <f t="array" ref="T3">IF(fTbl9[[#This Row],[listlu]]=0,0,IF(INDEX(Ltbl[Context],fTbl9[[#This Row],[listlu]],1)="ALL",1,2))</f>
        <v>0</v>
      </c>
      <c r="U3" s="29"/>
    </row>
    <row r="4" spans="1:21">
      <c r="A4" s="15" t="s">
        <v>25</v>
      </c>
      <c r="B4" t="s">
        <v>26</v>
      </c>
      <c r="D4" s="1"/>
      <c r="E4" s="1"/>
      <c r="F4" s="1"/>
      <c r="G4" s="1"/>
      <c r="H4" s="1"/>
      <c r="I4" s="19" t="s">
        <v>27</v>
      </c>
      <c r="J4" s="28"/>
      <c r="K4" t="str">
        <f ca="1">IFERROR(IF(fTbl9[[#This Row],[LT]]="H",MID(fTbl9[[#This Row],[Hierarchy]],fTbl9[[#This Row],[pipe1]]+1,fTbl9[[#This Row],[pipe2]]-fTbl9[[#This Row],[pipe1]]-1),LEFT(fTbl9[[#This Row],[Hierarchy]],FIND("|",fTbl9[[#This Row],[Hierarchy]])-1)),"")</f>
        <v>GOResp</v>
      </c>
      <c r="L4" s="1">
        <f ca="1">IF(ROW()=3,0,OFFSET(fTbl9[[#This Row],[Lev]],-1,0)+IF(OFFSET(fTbl9[[#This Row],[LT]],-1,0)="H",1,IF(fTbl9[[#This Row],[LT]]="!H",-1,0)))</f>
        <v>1</v>
      </c>
      <c r="M4">
        <f>IF(RIGHT(fTbl9[[#This Row],[valid]],4)&lt;&gt;"list",0,IFERROR(MATCH(fTbl9[[#This Row],[Context]]&amp;"|"&amp;fTbl9[[#This Row],[Field]],Ltbl[ind],0),IFERROR(MATCH("ALL|"&amp;fTbl9[[#This Row],[Field]],Ltbl[ind],0),-1)))</f>
        <v>0</v>
      </c>
      <c r="N4" t="str" cm="1">
        <f t="array" ref="N4">IF(fTbl9[[#This Row],[listlu]]&lt;1,"",IF(INDEX(Ltbl[Generic],fTbl9[[#This Row],[listlu]])="","",INDEX(Ltbl[Generic],fTbl9[[#This Row],[listlu]])))</f>
        <v/>
      </c>
      <c r="O4">
        <f>IF(AND(fTbl9[[#This Row],[listlu]],ISERROR(FIND(",",fTbl9[[#This Row],[liMatch]])),fTbl9[[#This Row],[liMatch]]&lt;&gt;""),1,0)</f>
        <v>0</v>
      </c>
      <c r="P4">
        <f>IF(AND(fTbl9[[#This Row],[LT]]="Ref",ISNA(MATCH(fTbl9[[#This Row],[Field]],rTbl[Ref],0))),1,0)</f>
        <v>0</v>
      </c>
      <c r="Q4"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4">
        <f ca="1">FIND("~",SUBSTITUTE(fTbl9[[#This Row],[Hierarchy]],"|","~",1))</f>
        <v>7</v>
      </c>
      <c r="S4" t="e">
        <f ca="1">FIND("~",SUBSTITUTE(fTbl9[[#This Row],[Hierarchy]],"|","~",2))</f>
        <v>#VALUE!</v>
      </c>
      <c r="T4" cm="1">
        <f t="array" ref="T4">IF(fTbl9[[#This Row],[listlu]]=0,0,IF(INDEX(Ltbl[Context],fTbl9[[#This Row],[listlu]],1)="ALL",1,2))</f>
        <v>0</v>
      </c>
      <c r="U4" s="29"/>
    </row>
    <row r="5" spans="1:21">
      <c r="A5" s="15" t="s">
        <v>28</v>
      </c>
      <c r="B5" t="s">
        <v>29</v>
      </c>
      <c r="C5" t="s">
        <v>30</v>
      </c>
      <c r="D5" s="1">
        <v>15</v>
      </c>
      <c r="E5" s="1">
        <v>1</v>
      </c>
      <c r="F5" s="1"/>
      <c r="G5" s="1"/>
      <c r="H5" s="1" t="s">
        <v>31</v>
      </c>
      <c r="I5" s="19" t="s">
        <v>32</v>
      </c>
      <c r="J5" s="28" t="s">
        <v>33</v>
      </c>
      <c r="K5" t="str">
        <f ca="1">IFERROR(IF(fTbl9[[#This Row],[LT]]="H",MID(fTbl9[[#This Row],[Hierarchy]],fTbl9[[#This Row],[pipe1]]+1,fTbl9[[#This Row],[pipe2]]-fTbl9[[#This Row],[pipe1]]-1),LEFT(fTbl9[[#This Row],[Hierarchy]],FIND("|",fTbl9[[#This Row],[Hierarchy]])-1)),"")</f>
        <v>GOResp</v>
      </c>
      <c r="L5" s="1">
        <f ca="1">IF(ROW()=3,0,OFFSET(fTbl9[[#This Row],[Lev]],-1,0)+IF(OFFSET(fTbl9[[#This Row],[LT]],-1,0)="H",1,IF(fTbl9[[#This Row],[LT]]="!H",-1,0)))</f>
        <v>1</v>
      </c>
      <c r="M5">
        <f ca="1">IF(RIGHT(fTbl9[[#This Row],[valid]],4)&lt;&gt;"list",0,IFERROR(MATCH(fTbl9[[#This Row],[Context]]&amp;"|"&amp;fTbl9[[#This Row],[Field]],Ltbl[ind],0),IFERROR(MATCH("ALL|"&amp;fTbl9[[#This Row],[Field]],Ltbl[ind],0),-1)))</f>
        <v>1</v>
      </c>
      <c r="N5" t="str" cm="1">
        <f t="array" aca="1" ref="N5" ca="1">IF(fTbl9[[#This Row],[listlu]]&lt;1,"",IF(INDEX(Ltbl[Generic],fTbl9[[#This Row],[listlu]])="","",INDEX(Ltbl[Generic],fTbl9[[#This Row],[listlu]])))</f>
        <v>CUST</v>
      </c>
      <c r="O5">
        <f ca="1">IF(AND(fTbl9[[#This Row],[listlu]],ISERROR(FIND(",",fTbl9[[#This Row],[liMatch]])),fTbl9[[#This Row],[liMatch]]&lt;&gt;""),1,0)</f>
        <v>1</v>
      </c>
      <c r="P5">
        <f>IF(AND(fTbl9[[#This Row],[LT]]="Ref",ISNA(MATCH(fTbl9[[#This Row],[Field]],rTbl[Ref],0))),1,0)</f>
        <v>0</v>
      </c>
      <c r="Q5"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5">
        <f ca="1">FIND("~",SUBSTITUTE(fTbl9[[#This Row],[Hierarchy]],"|","~",1))</f>
        <v>7</v>
      </c>
      <c r="S5" t="e">
        <f ca="1">FIND("~",SUBSTITUTE(fTbl9[[#This Row],[Hierarchy]],"|","~",2))</f>
        <v>#VALUE!</v>
      </c>
      <c r="T5" cm="1">
        <f t="array" aca="1" ref="T5" ca="1">IF(fTbl9[[#This Row],[listlu]]=0,0,IF(INDEX(Ltbl[Context],fTbl9[[#This Row],[listlu]],1)="ALL",1,2))</f>
        <v>1</v>
      </c>
      <c r="U5" s="29"/>
    </row>
    <row r="6" spans="1:21">
      <c r="A6" s="15" t="s">
        <v>28</v>
      </c>
      <c r="B6" t="s">
        <v>34</v>
      </c>
      <c r="C6" t="s">
        <v>30</v>
      </c>
      <c r="D6" s="1">
        <v>15</v>
      </c>
      <c r="E6" s="1">
        <v>1</v>
      </c>
      <c r="F6" s="1"/>
      <c r="G6" s="1"/>
      <c r="H6" s="1" t="s">
        <v>31</v>
      </c>
      <c r="I6" s="19" t="s">
        <v>35</v>
      </c>
      <c r="J6" s="27" t="s">
        <v>36</v>
      </c>
      <c r="K6" t="str">
        <f ca="1">IFERROR(IF(fTbl9[[#This Row],[LT]]="H",MID(fTbl9[[#This Row],[Hierarchy]],fTbl9[[#This Row],[pipe1]]+1,fTbl9[[#This Row],[pipe2]]-fTbl9[[#This Row],[pipe1]]-1),LEFT(fTbl9[[#This Row],[Hierarchy]],FIND("|",fTbl9[[#This Row],[Hierarchy]])-1)),"")</f>
        <v>GOResp</v>
      </c>
      <c r="L6" s="1">
        <f ca="1">IF(ROW()=3,0,OFFSET(fTbl9[[#This Row],[Lev]],-1,0)+IF(OFFSET(fTbl9[[#This Row],[LT]],-1,0)="H",1,IF(fTbl9[[#This Row],[LT]]="!H",-1,0)))</f>
        <v>1</v>
      </c>
      <c r="M6">
        <f ca="1">IF(RIGHT(fTbl9[[#This Row],[valid]],4)&lt;&gt;"list",0,IFERROR(MATCH(fTbl9[[#This Row],[Context]]&amp;"|"&amp;fTbl9[[#This Row],[Field]],Ltbl[ind],0),IFERROR(MATCH("ALL|"&amp;fTbl9[[#This Row],[Field]],Ltbl[ind],0),-1)))</f>
        <v>6</v>
      </c>
      <c r="N6" t="str" cm="1">
        <f t="array" aca="1" ref="N6" ca="1">IF(fTbl9[[#This Row],[listlu]]&lt;1,"",IF(INDEX(Ltbl[Generic],fTbl9[[#This Row],[listlu]])="","",INDEX(Ltbl[Generic],fTbl9[[#This Row],[listlu]])))</f>
        <v>NORTHAMPTON</v>
      </c>
      <c r="O6">
        <f ca="1">IF(AND(fTbl9[[#This Row],[listlu]],ISERROR(FIND(",",fTbl9[[#This Row],[liMatch]])),fTbl9[[#This Row],[liMatch]]&lt;&gt;""),1,0)</f>
        <v>1</v>
      </c>
      <c r="P6">
        <f>IF(AND(fTbl9[[#This Row],[LT]]="Ref",ISNA(MATCH(fTbl9[[#This Row],[Field]],rTbl[Ref],0))),1,0)</f>
        <v>0</v>
      </c>
      <c r="Q6"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6">
        <f ca="1">FIND("~",SUBSTITUTE(fTbl9[[#This Row],[Hierarchy]],"|","~",1))</f>
        <v>7</v>
      </c>
      <c r="S6" t="e">
        <f ca="1">FIND("~",SUBSTITUTE(fTbl9[[#This Row],[Hierarchy]],"|","~",2))</f>
        <v>#VALUE!</v>
      </c>
      <c r="T6" cm="1">
        <f t="array" aca="1" ref="T6" ca="1">IF(fTbl9[[#This Row],[listlu]]=0,0,IF(INDEX(Ltbl[Context],fTbl9[[#This Row],[listlu]],1)="ALL",1,2))</f>
        <v>1</v>
      </c>
      <c r="U6" s="29"/>
    </row>
    <row r="7" spans="1:21">
      <c r="A7" s="15" t="s">
        <v>28</v>
      </c>
      <c r="B7" t="s">
        <v>37</v>
      </c>
      <c r="C7" t="s">
        <v>30</v>
      </c>
      <c r="D7" s="1">
        <v>15</v>
      </c>
      <c r="E7" s="1">
        <v>1</v>
      </c>
      <c r="F7" s="1"/>
      <c r="G7" s="1"/>
      <c r="H7" s="1" t="s">
        <v>31</v>
      </c>
      <c r="I7" s="19" t="s">
        <v>38</v>
      </c>
      <c r="J7" s="28" t="s">
        <v>39</v>
      </c>
      <c r="K7" t="str">
        <f ca="1">IFERROR(IF(fTbl9[[#This Row],[LT]]="H",MID(fTbl9[[#This Row],[Hierarchy]],fTbl9[[#This Row],[pipe1]]+1,fTbl9[[#This Row],[pipe2]]-fTbl9[[#This Row],[pipe1]]-1),LEFT(fTbl9[[#This Row],[Hierarchy]],FIND("|",fTbl9[[#This Row],[Hierarchy]])-1)),"")</f>
        <v>GOResp</v>
      </c>
      <c r="L7" s="1">
        <f ca="1">IF(ROW()=3,0,OFFSET(fTbl9[[#This Row],[Lev]],-1,0)+IF(OFFSET(fTbl9[[#This Row],[LT]],-1,0)="H",1,IF(fTbl9[[#This Row],[LT]]="!H",-1,0)))</f>
        <v>1</v>
      </c>
      <c r="M7">
        <f ca="1">IF(RIGHT(fTbl9[[#This Row],[valid]],4)&lt;&gt;"list",0,IFERROR(MATCH(fTbl9[[#This Row],[Context]]&amp;"|"&amp;fTbl9[[#This Row],[Field]],Ltbl[ind],0),IFERROR(MATCH("ALL|"&amp;fTbl9[[#This Row],[Field]],Ltbl[ind],0),-1)))</f>
        <v>9</v>
      </c>
      <c r="N7" t="str" cm="1">
        <f t="array" aca="1" ref="N7" ca="1">IF(fTbl9[[#This Row],[listlu]]&lt;1,"",IF(INDEX(Ltbl[Generic],fTbl9[[#This Row],[listlu]])="","",INDEX(Ltbl[Generic],fTbl9[[#This Row],[listlu]])))</f>
        <v>ECOM,WS,BULK</v>
      </c>
      <c r="O7">
        <f ca="1">IF(AND(fTbl9[[#This Row],[listlu]],ISERROR(FIND(",",fTbl9[[#This Row],[liMatch]])),fTbl9[[#This Row],[liMatch]]&lt;&gt;""),1,0)</f>
        <v>0</v>
      </c>
      <c r="P7">
        <f>IF(AND(fTbl9[[#This Row],[LT]]="Ref",ISNA(MATCH(fTbl9[[#This Row],[Field]],rTbl[Ref],0))),1,0)</f>
        <v>0</v>
      </c>
      <c r="Q7"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7">
        <f ca="1">FIND("~",SUBSTITUTE(fTbl9[[#This Row],[Hierarchy]],"|","~",1))</f>
        <v>7</v>
      </c>
      <c r="S7" t="e">
        <f ca="1">FIND("~",SUBSTITUTE(fTbl9[[#This Row],[Hierarchy]],"|","~",2))</f>
        <v>#VALUE!</v>
      </c>
      <c r="T7" cm="1">
        <f t="array" aca="1" ref="T7" ca="1">IF(fTbl9[[#This Row],[listlu]]=0,0,IF(INDEX(Ltbl[Context],fTbl9[[#This Row],[listlu]],1)="ALL",1,2))</f>
        <v>1</v>
      </c>
      <c r="U7" s="29"/>
    </row>
    <row r="8" spans="1:21">
      <c r="A8" s="15" t="s">
        <v>28</v>
      </c>
      <c r="B8" t="s">
        <v>46</v>
      </c>
      <c r="C8" t="s">
        <v>30</v>
      </c>
      <c r="D8" s="1">
        <v>20</v>
      </c>
      <c r="E8" s="1">
        <v>0</v>
      </c>
      <c r="F8" s="1"/>
      <c r="G8" s="1"/>
      <c r="H8" s="1" t="s">
        <v>31</v>
      </c>
      <c r="I8" s="19" t="s">
        <v>47</v>
      </c>
      <c r="J8" s="28" t="s">
        <v>48</v>
      </c>
      <c r="K8" t="str">
        <f ca="1">IFERROR(IF(fTbl9[[#This Row],[LT]]="H",MID(fTbl9[[#This Row],[Hierarchy]],fTbl9[[#This Row],[pipe1]]+1,fTbl9[[#This Row],[pipe2]]-fTbl9[[#This Row],[pipe1]]-1),LEFT(fTbl9[[#This Row],[Hierarchy]],FIND("|",fTbl9[[#This Row],[Hierarchy]])-1)),"")</f>
        <v>GOResp</v>
      </c>
      <c r="L8" s="1">
        <f ca="1">IF(ROW()=3,0,OFFSET(fTbl9[[#This Row],[Lev]],-1,0)+IF(OFFSET(fTbl9[[#This Row],[LT]],-1,0)="H",1,IF(fTbl9[[#This Row],[LT]]="!H",-1,0)))</f>
        <v>1</v>
      </c>
      <c r="M8">
        <f ca="1">IF(RIGHT(fTbl9[[#This Row],[valid]],4)&lt;&gt;"list",0,IFERROR(MATCH(fTbl9[[#This Row],[Context]]&amp;"|"&amp;fTbl9[[#This Row],[Field]],Ltbl[ind],0),IFERROR(MATCH("ALL|"&amp;fTbl9[[#This Row],[Field]],Ltbl[ind],0),-1)))</f>
        <v>4</v>
      </c>
      <c r="N8" t="str" cm="1">
        <f t="array" aca="1" ref="N8" ca="1">IF(fTbl9[[#This Row],[listlu]]&lt;1,"",IF(INDEX(Ltbl[Generic],fTbl9[[#This Row],[listlu]])="","",INDEX(Ltbl[Generic],fTbl9[[#This Row],[listlu]])))</f>
        <v>ShopEU,ShopUK,NetSuite</v>
      </c>
      <c r="O8">
        <f ca="1">IF(AND(fTbl9[[#This Row],[listlu]],ISERROR(FIND(",",fTbl9[[#This Row],[liMatch]])),fTbl9[[#This Row],[liMatch]]&lt;&gt;""),1,0)</f>
        <v>0</v>
      </c>
      <c r="P8">
        <f>IF(AND(fTbl9[[#This Row],[LT]]="Ref",ISNA(MATCH(fTbl9[[#This Row],[Field]],rTbl[Ref],0))),1,0)</f>
        <v>0</v>
      </c>
      <c r="Q8"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8">
        <f ca="1">FIND("~",SUBSTITUTE(fTbl9[[#This Row],[Hierarchy]],"|","~",1))</f>
        <v>7</v>
      </c>
      <c r="S8" t="e">
        <f ca="1">FIND("~",SUBSTITUTE(fTbl9[[#This Row],[Hierarchy]],"|","~",2))</f>
        <v>#VALUE!</v>
      </c>
      <c r="T8" cm="1">
        <f t="array" aca="1" ref="T8" ca="1">IF(fTbl9[[#This Row],[listlu]]=0,0,IF(INDEX(Ltbl[Context],fTbl9[[#This Row],[listlu]],1)="ALL",1,2))</f>
        <v>1</v>
      </c>
      <c r="U8" s="29"/>
    </row>
    <row r="9" spans="1:21">
      <c r="A9" s="15" t="s">
        <v>28</v>
      </c>
      <c r="B9" t="s">
        <v>50</v>
      </c>
      <c r="C9" t="s">
        <v>30</v>
      </c>
      <c r="D9" s="1">
        <v>20</v>
      </c>
      <c r="E9" s="1">
        <v>0</v>
      </c>
      <c r="F9" s="1"/>
      <c r="G9" s="1"/>
      <c r="H9" s="1" t="s">
        <v>31</v>
      </c>
      <c r="I9" s="19" t="s">
        <v>51</v>
      </c>
      <c r="J9" s="28" t="s">
        <v>52</v>
      </c>
      <c r="K9" t="str">
        <f ca="1">IFERROR(IF(fTbl9[[#This Row],[LT]]="H",MID(fTbl9[[#This Row],[Hierarchy]],fTbl9[[#This Row],[pipe1]]+1,fTbl9[[#This Row],[pipe2]]-fTbl9[[#This Row],[pipe1]]-1),LEFT(fTbl9[[#This Row],[Hierarchy]],FIND("|",fTbl9[[#This Row],[Hierarchy]])-1)),"")</f>
        <v>GOResp</v>
      </c>
      <c r="L9" s="1">
        <f ca="1">IF(ROW()=3,0,OFFSET(fTbl9[[#This Row],[Lev]],-1,0)+IF(OFFSET(fTbl9[[#This Row],[LT]],-1,0)="H",1,IF(fTbl9[[#This Row],[LT]]="!H",-1,0)))</f>
        <v>1</v>
      </c>
      <c r="M9">
        <f ca="1">IF(RIGHT(fTbl9[[#This Row],[valid]],4)&lt;&gt;"list",0,IFERROR(MATCH(fTbl9[[#This Row],[Context]]&amp;"|"&amp;fTbl9[[#This Row],[Field]],Ltbl[ind],0),IFERROR(MATCH("ALL|"&amp;fTbl9[[#This Row],[Field]],Ltbl[ind],0),-1)))</f>
        <v>3</v>
      </c>
      <c r="N9" t="str" cm="1">
        <f t="array" aca="1" ref="N9" ca="1">IF(fTbl9[[#This Row],[listlu]]&lt;1,"",IF(INDEX(Ltbl[Generic],fTbl9[[#This Row],[listlu]])="","",INDEX(Ltbl[Generic],fTbl9[[#This Row],[listlu]])))</f>
        <v>MyFirstBrand,OtherBrand</v>
      </c>
      <c r="O9">
        <f ca="1">IF(AND(fTbl9[[#This Row],[listlu]],ISERROR(FIND(",",fTbl9[[#This Row],[liMatch]])),fTbl9[[#This Row],[liMatch]]&lt;&gt;""),1,0)</f>
        <v>0</v>
      </c>
      <c r="P9">
        <f>IF(AND(fTbl9[[#This Row],[LT]]="Ref",ISNA(MATCH(fTbl9[[#This Row],[Field]],rTbl[Ref],0))),1,0)</f>
        <v>0</v>
      </c>
      <c r="Q9"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9">
        <f ca="1">FIND("~",SUBSTITUTE(fTbl9[[#This Row],[Hierarchy]],"|","~",1))</f>
        <v>7</v>
      </c>
      <c r="S9" t="e">
        <f ca="1">FIND("~",SUBSTITUTE(fTbl9[[#This Row],[Hierarchy]],"|","~",2))</f>
        <v>#VALUE!</v>
      </c>
      <c r="T9" cm="1">
        <f t="array" aca="1" ref="T9" ca="1">IF(fTbl9[[#This Row],[listlu]]=0,0,IF(INDEX(Ltbl[Context],fTbl9[[#This Row],[listlu]],1)="ALL",1,2))</f>
        <v>1</v>
      </c>
      <c r="U9" s="29"/>
    </row>
    <row r="10" spans="1:21">
      <c r="A10" s="15" t="s">
        <v>28</v>
      </c>
      <c r="B10" t="s">
        <v>40</v>
      </c>
      <c r="C10" t="s">
        <v>30</v>
      </c>
      <c r="D10" s="1">
        <v>250</v>
      </c>
      <c r="E10" s="1">
        <v>0</v>
      </c>
      <c r="F10" s="1"/>
      <c r="G10" s="1"/>
      <c r="H10" s="1"/>
      <c r="I10" s="19" t="s">
        <v>41</v>
      </c>
      <c r="J10" s="28" t="s">
        <v>42</v>
      </c>
      <c r="K10" t="str">
        <f ca="1">IFERROR(IF(fTbl9[[#This Row],[LT]]="H",MID(fTbl9[[#This Row],[Hierarchy]],fTbl9[[#This Row],[pipe1]]+1,fTbl9[[#This Row],[pipe2]]-fTbl9[[#This Row],[pipe1]]-1),LEFT(fTbl9[[#This Row],[Hierarchy]],FIND("|",fTbl9[[#This Row],[Hierarchy]])-1)),"")</f>
        <v>GOResp</v>
      </c>
      <c r="L10" s="1">
        <f ca="1">IF(ROW()=3,0,OFFSET(fTbl9[[#This Row],[Lev]],-1,0)+IF(OFFSET(fTbl9[[#This Row],[LT]],-1,0)="H",1,IF(fTbl9[[#This Row],[LT]]="!H",-1,0)))</f>
        <v>1</v>
      </c>
      <c r="M10">
        <f>IF(RIGHT(fTbl9[[#This Row],[valid]],4)&lt;&gt;"list",0,IFERROR(MATCH(fTbl9[[#This Row],[Context]]&amp;"|"&amp;fTbl9[[#This Row],[Field]],Ltbl[ind],0),IFERROR(MATCH("ALL|"&amp;fTbl9[[#This Row],[Field]],Ltbl[ind],0),-1)))</f>
        <v>0</v>
      </c>
      <c r="N10" t="str" cm="1">
        <f t="array" ref="N10">IF(fTbl9[[#This Row],[listlu]]&lt;1,"",IF(INDEX(Ltbl[Generic],fTbl9[[#This Row],[listlu]])="","",INDEX(Ltbl[Generic],fTbl9[[#This Row],[listlu]])))</f>
        <v/>
      </c>
      <c r="O10">
        <f>IF(AND(fTbl9[[#This Row],[listlu]],ISERROR(FIND(",",fTbl9[[#This Row],[liMatch]])),fTbl9[[#This Row],[liMatch]]&lt;&gt;""),1,0)</f>
        <v>0</v>
      </c>
      <c r="P10">
        <f>IF(AND(fTbl9[[#This Row],[LT]]="Ref",ISNA(MATCH(fTbl9[[#This Row],[Field]],rTbl[Ref],0))),1,0)</f>
        <v>0</v>
      </c>
      <c r="Q10"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10">
        <f ca="1">FIND("~",SUBSTITUTE(fTbl9[[#This Row],[Hierarchy]],"|","~",1))</f>
        <v>7</v>
      </c>
      <c r="S10" t="e">
        <f ca="1">FIND("~",SUBSTITUTE(fTbl9[[#This Row],[Hierarchy]],"|","~",2))</f>
        <v>#VALUE!</v>
      </c>
      <c r="T10" cm="1">
        <f t="array" ref="T10">IF(fTbl9[[#This Row],[listlu]]=0,0,IF(INDEX(Ltbl[Context],fTbl9[[#This Row],[listlu]],1)="ALL",1,2))</f>
        <v>0</v>
      </c>
      <c r="U10" s="29"/>
    </row>
    <row r="11" spans="1:21">
      <c r="A11" s="15" t="s">
        <v>28</v>
      </c>
      <c r="B11" t="s">
        <v>43</v>
      </c>
      <c r="C11" t="s">
        <v>30</v>
      </c>
      <c r="D11" s="1">
        <v>50</v>
      </c>
      <c r="E11" s="1">
        <v>0</v>
      </c>
      <c r="F11" s="1"/>
      <c r="G11" s="1"/>
      <c r="H11" s="1"/>
      <c r="I11" s="19" t="s">
        <v>44</v>
      </c>
      <c r="J11" s="28" t="s">
        <v>45</v>
      </c>
      <c r="K11" t="str">
        <f ca="1">IFERROR(IF(fTbl9[[#This Row],[LT]]="H",MID(fTbl9[[#This Row],[Hierarchy]],fTbl9[[#This Row],[pipe1]]+1,fTbl9[[#This Row],[pipe2]]-fTbl9[[#This Row],[pipe1]]-1),LEFT(fTbl9[[#This Row],[Hierarchy]],FIND("|",fTbl9[[#This Row],[Hierarchy]])-1)),"")</f>
        <v>GOResp</v>
      </c>
      <c r="L11" s="1">
        <f ca="1">IF(ROW()=3,0,OFFSET(fTbl9[[#This Row],[Lev]],-1,0)+IF(OFFSET(fTbl9[[#This Row],[LT]],-1,0)="H",1,IF(fTbl9[[#This Row],[LT]]="!H",-1,0)))</f>
        <v>1</v>
      </c>
      <c r="M11">
        <f>IF(RIGHT(fTbl9[[#This Row],[valid]],4)&lt;&gt;"list",0,IFERROR(MATCH(fTbl9[[#This Row],[Context]]&amp;"|"&amp;fTbl9[[#This Row],[Field]],Ltbl[ind],0),IFERROR(MATCH("ALL|"&amp;fTbl9[[#This Row],[Field]],Ltbl[ind],0),-1)))</f>
        <v>0</v>
      </c>
      <c r="N11" t="str" cm="1">
        <f t="array" ref="N11">IF(fTbl9[[#This Row],[listlu]]&lt;1,"",IF(INDEX(Ltbl[Generic],fTbl9[[#This Row],[listlu]])="","",INDEX(Ltbl[Generic],fTbl9[[#This Row],[listlu]])))</f>
        <v/>
      </c>
      <c r="O11">
        <f>IF(AND(fTbl9[[#This Row],[listlu]],ISERROR(FIND(",",fTbl9[[#This Row],[liMatch]])),fTbl9[[#This Row],[liMatch]]&lt;&gt;""),1,0)</f>
        <v>0</v>
      </c>
      <c r="P11">
        <f>IF(AND(fTbl9[[#This Row],[LT]]="Ref",ISNA(MATCH(fTbl9[[#This Row],[Field]],rTbl[Ref],0))),1,0)</f>
        <v>0</v>
      </c>
      <c r="Q11"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11">
        <f ca="1">FIND("~",SUBSTITUTE(fTbl9[[#This Row],[Hierarchy]],"|","~",1))</f>
        <v>7</v>
      </c>
      <c r="S11" t="e">
        <f ca="1">FIND("~",SUBSTITUTE(fTbl9[[#This Row],[Hierarchy]],"|","~",2))</f>
        <v>#VALUE!</v>
      </c>
      <c r="T11" cm="1">
        <f t="array" ref="T11">IF(fTbl9[[#This Row],[listlu]]=0,0,IF(INDEX(Ltbl[Context],fTbl9[[#This Row],[listlu]],1)="ALL",1,2))</f>
        <v>0</v>
      </c>
      <c r="U11" s="29"/>
    </row>
    <row r="12" spans="1:21">
      <c r="A12" s="15" t="s">
        <v>25</v>
      </c>
      <c r="B12" t="s">
        <v>53</v>
      </c>
      <c r="D12" s="1"/>
      <c r="E12" s="1"/>
      <c r="F12" s="1"/>
      <c r="G12" s="1"/>
      <c r="H12" s="1"/>
      <c r="I12" s="19" t="s">
        <v>54</v>
      </c>
      <c r="J12" s="28"/>
      <c r="K12" t="str">
        <f ca="1">IFERROR(IF(fTbl9[[#This Row],[LT]]="H",MID(fTbl9[[#This Row],[Hierarchy]],fTbl9[[#This Row],[pipe1]]+1,fTbl9[[#This Row],[pipe2]]-fTbl9[[#This Row],[pipe1]]-1),LEFT(fTbl9[[#This Row],[Hierarchy]],FIND("|",fTbl9[[#This Row],[Hierarchy]])-1)),"")</f>
        <v>GOResp</v>
      </c>
      <c r="L12" s="1">
        <f ca="1">IF(ROW()=3,0,OFFSET(fTbl9[[#This Row],[Lev]],-1,0)+IF(OFFSET(fTbl9[[#This Row],[LT]],-1,0)="H",1,IF(fTbl9[[#This Row],[LT]]="!H",-1,0)))</f>
        <v>1</v>
      </c>
      <c r="M12">
        <f>IF(RIGHT(fTbl9[[#This Row],[valid]],4)&lt;&gt;"list",0,IFERROR(MATCH(fTbl9[[#This Row],[Context]]&amp;"|"&amp;fTbl9[[#This Row],[Field]],Ltbl[ind],0),IFERROR(MATCH("ALL|"&amp;fTbl9[[#This Row],[Field]],Ltbl[ind],0),-1)))</f>
        <v>0</v>
      </c>
      <c r="N12" t="str" cm="1">
        <f t="array" ref="N12">IF(fTbl9[[#This Row],[listlu]]&lt;1,"",IF(INDEX(Ltbl[Generic],fTbl9[[#This Row],[listlu]])="","",INDEX(Ltbl[Generic],fTbl9[[#This Row],[listlu]])))</f>
        <v/>
      </c>
      <c r="O12">
        <f>IF(AND(fTbl9[[#This Row],[listlu]],ISERROR(FIND(",",fTbl9[[#This Row],[liMatch]])),fTbl9[[#This Row],[liMatch]]&lt;&gt;""),1,0)</f>
        <v>0</v>
      </c>
      <c r="P12">
        <f>IF(AND(fTbl9[[#This Row],[LT]]="Ref",ISNA(MATCH(fTbl9[[#This Row],[Field]],rTbl[Ref],0))),1,0)</f>
        <v>0</v>
      </c>
      <c r="Q12"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12">
        <f ca="1">FIND("~",SUBSTITUTE(fTbl9[[#This Row],[Hierarchy]],"|","~",1))</f>
        <v>7</v>
      </c>
      <c r="S12" t="e">
        <f ca="1">FIND("~",SUBSTITUTE(fTbl9[[#This Row],[Hierarchy]],"|","~",2))</f>
        <v>#VALUE!</v>
      </c>
      <c r="T12" cm="1">
        <f t="array" ref="T12">IF(fTbl9[[#This Row],[listlu]]=0,0,IF(INDEX(Ltbl[Context],fTbl9[[#This Row],[listlu]],1)="ALL",1,2))</f>
        <v>0</v>
      </c>
      <c r="U12" s="29"/>
    </row>
    <row r="13" spans="1:21">
      <c r="A13" s="15" t="s">
        <v>28</v>
      </c>
      <c r="B13" t="s">
        <v>55</v>
      </c>
      <c r="C13" t="s">
        <v>30</v>
      </c>
      <c r="D13" s="1">
        <v>5</v>
      </c>
      <c r="E13" s="1">
        <v>1</v>
      </c>
      <c r="F13" s="1"/>
      <c r="G13" s="1"/>
      <c r="H13" s="1" t="s">
        <v>31</v>
      </c>
      <c r="I13" s="19" t="s">
        <v>57</v>
      </c>
      <c r="J13" s="28" t="s">
        <v>58</v>
      </c>
      <c r="K13" t="str">
        <f ca="1">IFERROR(IF(fTbl9[[#This Row],[LT]]="H",MID(fTbl9[[#This Row],[Hierarchy]],fTbl9[[#This Row],[pipe1]]+1,fTbl9[[#This Row],[pipe2]]-fTbl9[[#This Row],[pipe1]]-1),LEFT(fTbl9[[#This Row],[Hierarchy]],FIND("|",fTbl9[[#This Row],[Hierarchy]])-1)),"")</f>
        <v>GOResp</v>
      </c>
      <c r="L13" s="1">
        <f ca="1">IF(ROW()=3,0,OFFSET(fTbl9[[#This Row],[Lev]],-1,0)+IF(OFFSET(fTbl9[[#This Row],[LT]],-1,0)="H",1,IF(fTbl9[[#This Row],[LT]]="!H",-1,0)))</f>
        <v>1</v>
      </c>
      <c r="M13">
        <f ca="1">IF(RIGHT(fTbl9[[#This Row],[valid]],4)&lt;&gt;"list",0,IFERROR(MATCH(fTbl9[[#This Row],[Context]]&amp;"|"&amp;fTbl9[[#This Row],[Field]],Ltbl[ind],0),IFERROR(MATCH("ALL|"&amp;fTbl9[[#This Row],[Field]],Ltbl[ind],0),-1)))</f>
        <v>14</v>
      </c>
      <c r="N13" t="str" cm="1">
        <f t="array" aca="1" ref="N13" ca="1">IF(fTbl9[[#This Row],[listlu]]&lt;1,"",IF(INDEX(Ltbl[Generic],fTbl9[[#This Row],[listlu]])="","",INDEX(Ltbl[Generic],fTbl9[[#This Row],[listlu]])))</f>
        <v>SO,TOO</v>
      </c>
      <c r="O13">
        <f ca="1">IF(AND(fTbl9[[#This Row],[listlu]],ISERROR(FIND(",",fTbl9[[#This Row],[liMatch]])),fTbl9[[#This Row],[liMatch]]&lt;&gt;""),1,0)</f>
        <v>0</v>
      </c>
      <c r="P13">
        <f>IF(AND(fTbl9[[#This Row],[LT]]="Ref",ISNA(MATCH(fTbl9[[#This Row],[Field]],rTbl[Ref],0))),1,0)</f>
        <v>0</v>
      </c>
      <c r="Q13"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13">
        <f ca="1">FIND("~",SUBSTITUTE(fTbl9[[#This Row],[Hierarchy]],"|","~",1))</f>
        <v>7</v>
      </c>
      <c r="S13" t="e">
        <f ca="1">FIND("~",SUBSTITUTE(fTbl9[[#This Row],[Hierarchy]],"|","~",2))</f>
        <v>#VALUE!</v>
      </c>
      <c r="T13" cm="1">
        <f t="array" aca="1" ref="T13" ca="1">IF(fTbl9[[#This Row],[listlu]]=0,0,IF(INDEX(Ltbl[Context],fTbl9[[#This Row],[listlu]],1)="ALL",1,2))</f>
        <v>2</v>
      </c>
      <c r="U13" s="29"/>
    </row>
    <row r="14" spans="1:21">
      <c r="A14" s="15" t="s">
        <v>28</v>
      </c>
      <c r="B14" t="s">
        <v>60</v>
      </c>
      <c r="C14" t="s">
        <v>30</v>
      </c>
      <c r="D14" s="1">
        <v>5</v>
      </c>
      <c r="E14" s="1">
        <v>1</v>
      </c>
      <c r="F14" s="1"/>
      <c r="G14" s="1"/>
      <c r="H14" s="1" t="s">
        <v>31</v>
      </c>
      <c r="I14" s="19" t="s">
        <v>229</v>
      </c>
      <c r="J14" s="28" t="s">
        <v>62</v>
      </c>
      <c r="K14" t="str">
        <f ca="1">IFERROR(IF(fTbl9[[#This Row],[LT]]="H",MID(fTbl9[[#This Row],[Hierarchy]],fTbl9[[#This Row],[pipe1]]+1,fTbl9[[#This Row],[pipe2]]-fTbl9[[#This Row],[pipe1]]-1),LEFT(fTbl9[[#This Row],[Hierarchy]],FIND("|",fTbl9[[#This Row],[Hierarchy]])-1)),"")</f>
        <v>GOResp</v>
      </c>
      <c r="L14" s="1">
        <f ca="1">IF(ROW()=3,0,OFFSET(fTbl9[[#This Row],[Lev]],-1,0)+IF(OFFSET(fTbl9[[#This Row],[LT]],-1,0)="H",1,IF(fTbl9[[#This Row],[LT]]="!H",-1,0)))</f>
        <v>1</v>
      </c>
      <c r="M14">
        <f ca="1">IF(RIGHT(fTbl9[[#This Row],[valid]],4)&lt;&gt;"list",0,IFERROR(MATCH(fTbl9[[#This Row],[Context]]&amp;"|"&amp;fTbl9[[#This Row],[Field]],Ltbl[ind],0),IFERROR(MATCH("ALL|"&amp;fTbl9[[#This Row],[Field]],Ltbl[ind],0),-1)))</f>
        <v>8</v>
      </c>
      <c r="N14" t="str" cm="1">
        <f t="array" aca="1" ref="N14" ca="1">IF(fTbl9[[#This Row],[listlu]]&lt;1,"",IF(INDEX(Ltbl[Generic],fTbl9[[#This Row],[listlu]])="","",INDEX(Ltbl[Generic],fTbl9[[#This Row],[listlu]])))</f>
        <v>NEW,UPD</v>
      </c>
      <c r="O14">
        <f ca="1">IF(AND(fTbl9[[#This Row],[listlu]],ISERROR(FIND(",",fTbl9[[#This Row],[liMatch]])),fTbl9[[#This Row],[liMatch]]&lt;&gt;""),1,0)</f>
        <v>0</v>
      </c>
      <c r="P14">
        <f>IF(AND(fTbl9[[#This Row],[LT]]="Ref",ISNA(MATCH(fTbl9[[#This Row],[Field]],rTbl[Ref],0))),1,0)</f>
        <v>0</v>
      </c>
      <c r="Q14"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14">
        <f ca="1">FIND("~",SUBSTITUTE(fTbl9[[#This Row],[Hierarchy]],"|","~",1))</f>
        <v>7</v>
      </c>
      <c r="S14" t="e">
        <f ca="1">FIND("~",SUBSTITUTE(fTbl9[[#This Row],[Hierarchy]],"|","~",2))</f>
        <v>#VALUE!</v>
      </c>
      <c r="T14" cm="1">
        <f t="array" aca="1" ref="T14" ca="1">IF(fTbl9[[#This Row],[listlu]]=0,0,IF(INDEX(Ltbl[Context],fTbl9[[#This Row],[listlu]],1)="ALL",1,2))</f>
        <v>1</v>
      </c>
      <c r="U14" s="29"/>
    </row>
    <row r="15" spans="1:21">
      <c r="A15" s="15" t="s">
        <v>28</v>
      </c>
      <c r="B15" t="s">
        <v>64</v>
      </c>
      <c r="C15" t="s">
        <v>30</v>
      </c>
      <c r="D15" s="1">
        <v>10</v>
      </c>
      <c r="E15" s="1">
        <v>1</v>
      </c>
      <c r="F15" s="1"/>
      <c r="G15" s="1"/>
      <c r="H15" s="1" t="s">
        <v>31</v>
      </c>
      <c r="I15" s="19" t="s">
        <v>65</v>
      </c>
      <c r="J15" s="28" t="s">
        <v>66</v>
      </c>
      <c r="K15" t="str">
        <f ca="1">IFERROR(IF(fTbl9[[#This Row],[LT]]="H",MID(fTbl9[[#This Row],[Hierarchy]],fTbl9[[#This Row],[pipe1]]+1,fTbl9[[#This Row],[pipe2]]-fTbl9[[#This Row],[pipe1]]-1),LEFT(fTbl9[[#This Row],[Hierarchy]],FIND("|",fTbl9[[#This Row],[Hierarchy]])-1)),"")</f>
        <v>GOResp</v>
      </c>
      <c r="L15" s="1">
        <f ca="1">IF(ROW()=3,0,OFFSET(fTbl9[[#This Row],[Lev]],-1,0)+IF(OFFSET(fTbl9[[#This Row],[LT]],-1,0)="H",1,IF(fTbl9[[#This Row],[LT]]="!H",-1,0)))</f>
        <v>1</v>
      </c>
      <c r="M15">
        <f ca="1">IF(RIGHT(fTbl9[[#This Row],[valid]],4)&lt;&gt;"list",0,IFERROR(MATCH(fTbl9[[#This Row],[Context]]&amp;"|"&amp;fTbl9[[#This Row],[Field]],Ltbl[ind],0),IFERROR(MATCH("ALL|"&amp;fTbl9[[#This Row],[Field]],Ltbl[ind],0),-1)))</f>
        <v>13</v>
      </c>
      <c r="N15" t="str" cm="1">
        <f t="array" aca="1" ref="N15" ca="1">IF(fTbl9[[#This Row],[listlu]]&lt;1,"",IF(INDEX(Ltbl[Generic],fTbl9[[#This Row],[listlu]])="","",INDEX(Ltbl[Generic],fTbl9[[#This Row],[listlu]])))</f>
        <v>ECOM,WS,EVAS,WSVAS,PR,OTHER</v>
      </c>
      <c r="O15">
        <f ca="1">IF(AND(fTbl9[[#This Row],[listlu]],ISERROR(FIND(",",fTbl9[[#This Row],[liMatch]])),fTbl9[[#This Row],[liMatch]]&lt;&gt;""),1,0)</f>
        <v>0</v>
      </c>
      <c r="P15">
        <f>IF(AND(fTbl9[[#This Row],[LT]]="Ref",ISNA(MATCH(fTbl9[[#This Row],[Field]],rTbl[Ref],0))),1,0)</f>
        <v>0</v>
      </c>
      <c r="Q15"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15">
        <f ca="1">FIND("~",SUBSTITUTE(fTbl9[[#This Row],[Hierarchy]],"|","~",1))</f>
        <v>7</v>
      </c>
      <c r="S15" t="e">
        <f ca="1">FIND("~",SUBSTITUTE(fTbl9[[#This Row],[Hierarchy]],"|","~",2))</f>
        <v>#VALUE!</v>
      </c>
      <c r="T15" cm="1">
        <f t="array" aca="1" ref="T15" ca="1">IF(fTbl9[[#This Row],[listlu]]=0,0,IF(INDEX(Ltbl[Context],fTbl9[[#This Row],[listlu]],1)="ALL",1,2))</f>
        <v>2</v>
      </c>
      <c r="U15" s="29"/>
    </row>
    <row r="16" spans="1:21">
      <c r="A16" s="15" t="s">
        <v>28</v>
      </c>
      <c r="B16" t="s">
        <v>68</v>
      </c>
      <c r="C16" t="s">
        <v>30</v>
      </c>
      <c r="D16" s="1">
        <v>10</v>
      </c>
      <c r="E16" s="1">
        <v>1</v>
      </c>
      <c r="F16" s="1"/>
      <c r="G16" s="1"/>
      <c r="H16" s="1" t="s">
        <v>31</v>
      </c>
      <c r="I16" s="19" t="s">
        <v>69</v>
      </c>
      <c r="J16" s="28" t="s">
        <v>70</v>
      </c>
      <c r="K16" t="str">
        <f ca="1">IFERROR(IF(fTbl9[[#This Row],[LT]]="H",MID(fTbl9[[#This Row],[Hierarchy]],fTbl9[[#This Row],[pipe1]]+1,fTbl9[[#This Row],[pipe2]]-fTbl9[[#This Row],[pipe1]]-1),LEFT(fTbl9[[#This Row],[Hierarchy]],FIND("|",fTbl9[[#This Row],[Hierarchy]])-1)),"")</f>
        <v>GOResp</v>
      </c>
      <c r="L16" s="1">
        <f ca="1">IF(ROW()=3,0,OFFSET(fTbl9[[#This Row],[Lev]],-1,0)+IF(OFFSET(fTbl9[[#This Row],[LT]],-1,0)="H",1,IF(fTbl9[[#This Row],[LT]]="!H",-1,0)))</f>
        <v>1</v>
      </c>
      <c r="M16">
        <f ca="1">IF(RIGHT(fTbl9[[#This Row],[valid]],4)&lt;&gt;"list",0,IFERROR(MATCH(fTbl9[[#This Row],[Context]]&amp;"|"&amp;fTbl9[[#This Row],[Field]],Ltbl[ind],0),IFERROR(MATCH("ALL|"&amp;fTbl9[[#This Row],[Field]],Ltbl[ind],0),-1)))</f>
        <v>15</v>
      </c>
      <c r="N16" t="str" cm="1">
        <f t="array" aca="1" ref="N16" ca="1">IF(fTbl9[[#This Row],[listlu]]&lt;1,"",IF(INDEX(Ltbl[Generic],fTbl9[[#This Row],[listlu]])="","",INDEX(Ltbl[Generic],fTbl9[[#This Row],[listlu]])))</f>
        <v>NextDay,SameDay,UK48,IntExp,IntStd</v>
      </c>
      <c r="O16">
        <f ca="1">IF(AND(fTbl9[[#This Row],[listlu]],ISERROR(FIND(",",fTbl9[[#This Row],[liMatch]])),fTbl9[[#This Row],[liMatch]]&lt;&gt;""),1,0)</f>
        <v>0</v>
      </c>
      <c r="P16">
        <f>IF(AND(fTbl9[[#This Row],[LT]]="Ref",ISNA(MATCH(fTbl9[[#This Row],[Field]],rTbl[Ref],0))),1,0)</f>
        <v>0</v>
      </c>
      <c r="Q16"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16">
        <f ca="1">FIND("~",SUBSTITUTE(fTbl9[[#This Row],[Hierarchy]],"|","~",1))</f>
        <v>7</v>
      </c>
      <c r="S16" t="e">
        <f ca="1">FIND("~",SUBSTITUTE(fTbl9[[#This Row],[Hierarchy]],"|","~",2))</f>
        <v>#VALUE!</v>
      </c>
      <c r="T16" cm="1">
        <f t="array" aca="1" ref="T16" ca="1">IF(fTbl9[[#This Row],[listlu]]=0,0,IF(INDEX(Ltbl[Context],fTbl9[[#This Row],[listlu]],1)="ALL",1,2))</f>
        <v>2</v>
      </c>
      <c r="U16" s="29"/>
    </row>
    <row r="17" spans="1:21">
      <c r="A17" s="15" t="s">
        <v>28</v>
      </c>
      <c r="B17" t="s">
        <v>72</v>
      </c>
      <c r="C17" t="s">
        <v>30</v>
      </c>
      <c r="D17" s="1">
        <v>10</v>
      </c>
      <c r="E17" s="1">
        <v>0</v>
      </c>
      <c r="F17" s="1"/>
      <c r="G17" s="1"/>
      <c r="H17" s="1" t="s">
        <v>73</v>
      </c>
      <c r="I17" s="19" t="s">
        <v>74</v>
      </c>
      <c r="J17" s="28" t="s">
        <v>75</v>
      </c>
      <c r="K17" t="str">
        <f ca="1">IFERROR(IF(fTbl9[[#This Row],[LT]]="H",MID(fTbl9[[#This Row],[Hierarchy]],fTbl9[[#This Row],[pipe1]]+1,fTbl9[[#This Row],[pipe2]]-fTbl9[[#This Row],[pipe1]]-1),LEFT(fTbl9[[#This Row],[Hierarchy]],FIND("|",fTbl9[[#This Row],[Hierarchy]])-1)),"")</f>
        <v>GOResp</v>
      </c>
      <c r="L17" s="1">
        <f ca="1">IF(ROW()=3,0,OFFSET(fTbl9[[#This Row],[Lev]],-1,0)+IF(OFFSET(fTbl9[[#This Row],[LT]],-1,0)="H",1,IF(fTbl9[[#This Row],[LT]]="!H",-1,0)))</f>
        <v>1</v>
      </c>
      <c r="M17">
        <f>IF(RIGHT(fTbl9[[#This Row],[valid]],4)&lt;&gt;"list",0,IFERROR(MATCH(fTbl9[[#This Row],[Context]]&amp;"|"&amp;fTbl9[[#This Row],[Field]],Ltbl[ind],0),IFERROR(MATCH("ALL|"&amp;fTbl9[[#This Row],[Field]],Ltbl[ind],0),-1)))</f>
        <v>0</v>
      </c>
      <c r="N17" t="str" cm="1">
        <f t="array" ref="N17">IF(fTbl9[[#This Row],[listlu]]&lt;1,"",IF(INDEX(Ltbl[Generic],fTbl9[[#This Row],[listlu]])="","",INDEX(Ltbl[Generic],fTbl9[[#This Row],[listlu]])))</f>
        <v/>
      </c>
      <c r="O17">
        <f>IF(AND(fTbl9[[#This Row],[listlu]],ISERROR(FIND(",",fTbl9[[#This Row],[liMatch]])),fTbl9[[#This Row],[liMatch]]&lt;&gt;""),1,0)</f>
        <v>0</v>
      </c>
      <c r="P17">
        <f>IF(AND(fTbl9[[#This Row],[LT]]="Ref",ISNA(MATCH(fTbl9[[#This Row],[Field]],rTbl[Ref],0))),1,0)</f>
        <v>0</v>
      </c>
      <c r="Q17"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17">
        <f ca="1">FIND("~",SUBSTITUTE(fTbl9[[#This Row],[Hierarchy]],"|","~",1))</f>
        <v>7</v>
      </c>
      <c r="S17" t="e">
        <f ca="1">FIND("~",SUBSTITUTE(fTbl9[[#This Row],[Hierarchy]],"|","~",2))</f>
        <v>#VALUE!</v>
      </c>
      <c r="T17" cm="1">
        <f t="array" ref="T17">IF(fTbl9[[#This Row],[listlu]]=0,0,IF(INDEX(Ltbl[Context],fTbl9[[#This Row],[listlu]],1)="ALL",1,2))</f>
        <v>0</v>
      </c>
      <c r="U17" s="29"/>
    </row>
    <row r="18" spans="1:21">
      <c r="A18" s="15" t="s">
        <v>28</v>
      </c>
      <c r="B18" t="s">
        <v>77</v>
      </c>
      <c r="C18" t="s">
        <v>30</v>
      </c>
      <c r="D18" s="1">
        <v>10</v>
      </c>
      <c r="E18" s="1">
        <v>0</v>
      </c>
      <c r="F18" s="1"/>
      <c r="G18" s="1"/>
      <c r="H18" s="1" t="s">
        <v>31</v>
      </c>
      <c r="I18" s="19" t="s">
        <v>78</v>
      </c>
      <c r="J18" s="28" t="s">
        <v>79</v>
      </c>
      <c r="K18" t="str">
        <f ca="1">IFERROR(IF(fTbl9[[#This Row],[LT]]="H",MID(fTbl9[[#This Row],[Hierarchy]],fTbl9[[#This Row],[pipe1]]+1,fTbl9[[#This Row],[pipe2]]-fTbl9[[#This Row],[pipe1]]-1),LEFT(fTbl9[[#This Row],[Hierarchy]],FIND("|",fTbl9[[#This Row],[Hierarchy]])-1)),"")</f>
        <v>GOResp</v>
      </c>
      <c r="L18" s="1">
        <f ca="1">IF(ROW()=3,0,OFFSET(fTbl9[[#This Row],[Lev]],-1,0)+IF(OFFSET(fTbl9[[#This Row],[LT]],-1,0)="H",1,IF(fTbl9[[#This Row],[LT]]="!H",-1,0)))</f>
        <v>1</v>
      </c>
      <c r="M18">
        <f ca="1">IF(RIGHT(fTbl9[[#This Row],[valid]],4)&lt;&gt;"list",0,IFERROR(MATCH(fTbl9[[#This Row],[Context]]&amp;"|"&amp;fTbl9[[#This Row],[Field]],Ltbl[ind],0),IFERROR(MATCH("ALL|"&amp;fTbl9[[#This Row],[Field]],Ltbl[ind],0),-1)))</f>
        <v>7</v>
      </c>
      <c r="N18" t="str" cm="1">
        <f t="array" aca="1" ref="N18" ca="1">IF(fTbl9[[#This Row],[listlu]]&lt;1,"",IF(INDEX(Ltbl[Generic],fTbl9[[#This Row],[listlu]])="","",INDEX(Ltbl[Generic],fTbl9[[#This Row],[listlu]])))</f>
        <v>NORM,URGNT,HIGH</v>
      </c>
      <c r="O18">
        <f ca="1">IF(AND(fTbl9[[#This Row],[listlu]],ISERROR(FIND(",",fTbl9[[#This Row],[liMatch]])),fTbl9[[#This Row],[liMatch]]&lt;&gt;""),1,0)</f>
        <v>0</v>
      </c>
      <c r="P18">
        <f>IF(AND(fTbl9[[#This Row],[LT]]="Ref",ISNA(MATCH(fTbl9[[#This Row],[Field]],rTbl[Ref],0))),1,0)</f>
        <v>0</v>
      </c>
      <c r="Q18"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18">
        <f ca="1">FIND("~",SUBSTITUTE(fTbl9[[#This Row],[Hierarchy]],"|","~",1))</f>
        <v>7</v>
      </c>
      <c r="S18" t="e">
        <f ca="1">FIND("~",SUBSTITUTE(fTbl9[[#This Row],[Hierarchy]],"|","~",2))</f>
        <v>#VALUE!</v>
      </c>
      <c r="T18" cm="1">
        <f t="array" aca="1" ref="T18" ca="1">IF(fTbl9[[#This Row],[listlu]]=0,0,IF(INDEX(Ltbl[Context],fTbl9[[#This Row],[listlu]],1)="ALL",1,2))</f>
        <v>1</v>
      </c>
      <c r="U18" s="29"/>
    </row>
    <row r="19" spans="1:21">
      <c r="A19" s="15" t="s">
        <v>28</v>
      </c>
      <c r="B19" t="s">
        <v>80</v>
      </c>
      <c r="C19" t="s">
        <v>30</v>
      </c>
      <c r="D19" s="1">
        <v>15</v>
      </c>
      <c r="E19" s="1">
        <v>0</v>
      </c>
      <c r="F19" s="1"/>
      <c r="G19" s="1"/>
      <c r="H19" s="1" t="s">
        <v>73</v>
      </c>
      <c r="I19" s="19" t="s">
        <v>81</v>
      </c>
      <c r="J19" s="28" t="s">
        <v>210</v>
      </c>
      <c r="K19" t="str">
        <f ca="1">IFERROR(IF(fTbl9[[#This Row],[LT]]="H",MID(fTbl9[[#This Row],[Hierarchy]],fTbl9[[#This Row],[pipe1]]+1,fTbl9[[#This Row],[pipe2]]-fTbl9[[#This Row],[pipe1]]-1),LEFT(fTbl9[[#This Row],[Hierarchy]],FIND("|",fTbl9[[#This Row],[Hierarchy]])-1)),"")</f>
        <v>GOResp</v>
      </c>
      <c r="L19" s="1">
        <f ca="1">IF(ROW()=3,0,OFFSET(fTbl9[[#This Row],[Lev]],-1,0)+IF(OFFSET(fTbl9[[#This Row],[LT]],-1,0)="H",1,IF(fTbl9[[#This Row],[LT]]="!H",-1,0)))</f>
        <v>1</v>
      </c>
      <c r="M19">
        <f>IF(RIGHT(fTbl9[[#This Row],[valid]],4)&lt;&gt;"list",0,IFERROR(MATCH(fTbl9[[#This Row],[Context]]&amp;"|"&amp;fTbl9[[#This Row],[Field]],Ltbl[ind],0),IFERROR(MATCH("ALL|"&amp;fTbl9[[#This Row],[Field]],Ltbl[ind],0),-1)))</f>
        <v>0</v>
      </c>
      <c r="N19" t="str" cm="1">
        <f t="array" ref="N19">IF(fTbl9[[#This Row],[listlu]]&lt;1,"",IF(INDEX(Ltbl[Generic],fTbl9[[#This Row],[listlu]])="","",INDEX(Ltbl[Generic],fTbl9[[#This Row],[listlu]])))</f>
        <v/>
      </c>
      <c r="O19">
        <f>IF(AND(fTbl9[[#This Row],[listlu]],ISERROR(FIND(",",fTbl9[[#This Row],[liMatch]])),fTbl9[[#This Row],[liMatch]]&lt;&gt;""),1,0)</f>
        <v>0</v>
      </c>
      <c r="P19">
        <f>IF(AND(fTbl9[[#This Row],[LT]]="Ref",ISNA(MATCH(fTbl9[[#This Row],[Field]],rTbl[Ref],0))),1,0)</f>
        <v>0</v>
      </c>
      <c r="Q19"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19">
        <f ca="1">FIND("~",SUBSTITUTE(fTbl9[[#This Row],[Hierarchy]],"|","~",1))</f>
        <v>7</v>
      </c>
      <c r="S19" t="e">
        <f ca="1">FIND("~",SUBSTITUTE(fTbl9[[#This Row],[Hierarchy]],"|","~",2))</f>
        <v>#VALUE!</v>
      </c>
      <c r="T19" cm="1">
        <f t="array" ref="T19">IF(fTbl9[[#This Row],[listlu]]=0,0,IF(INDEX(Ltbl[Context],fTbl9[[#This Row],[listlu]],1)="ALL",1,2))</f>
        <v>0</v>
      </c>
      <c r="U19" s="29"/>
    </row>
    <row r="20" spans="1:21">
      <c r="A20" s="15" t="s">
        <v>28</v>
      </c>
      <c r="B20" t="s">
        <v>88</v>
      </c>
      <c r="C20" t="s">
        <v>89</v>
      </c>
      <c r="D20" s="1"/>
      <c r="E20" s="1">
        <v>0</v>
      </c>
      <c r="F20" s="1"/>
      <c r="G20" s="1"/>
      <c r="H20" s="1"/>
      <c r="I20" s="19" t="s">
        <v>90</v>
      </c>
      <c r="J20" s="28" t="s">
        <v>230</v>
      </c>
      <c r="K20" t="str">
        <f ca="1">IFERROR(IF(fTbl9[[#This Row],[LT]]="H",MID(fTbl9[[#This Row],[Hierarchy]],fTbl9[[#This Row],[pipe1]]+1,fTbl9[[#This Row],[pipe2]]-fTbl9[[#This Row],[pipe1]]-1),LEFT(fTbl9[[#This Row],[Hierarchy]],FIND("|",fTbl9[[#This Row],[Hierarchy]])-1)),"")</f>
        <v>GOResp</v>
      </c>
      <c r="L20" s="1">
        <f ca="1">IF(ROW()=3,0,OFFSET(fTbl9[[#This Row],[Lev]],-1,0)+IF(OFFSET(fTbl9[[#This Row],[LT]],-1,0)="H",1,IF(fTbl9[[#This Row],[LT]]="!H",-1,0)))</f>
        <v>1</v>
      </c>
      <c r="M20">
        <f>IF(RIGHT(fTbl9[[#This Row],[valid]],4)&lt;&gt;"list",0,IFERROR(MATCH(fTbl9[[#This Row],[Context]]&amp;"|"&amp;fTbl9[[#This Row],[Field]],Ltbl[ind],0),IFERROR(MATCH("ALL|"&amp;fTbl9[[#This Row],[Field]],Ltbl[ind],0),-1)))</f>
        <v>0</v>
      </c>
      <c r="N20" t="str" cm="1">
        <f t="array" ref="N20">IF(fTbl9[[#This Row],[listlu]]&lt;1,"",IF(INDEX(Ltbl[Generic],fTbl9[[#This Row],[listlu]])="","",INDEX(Ltbl[Generic],fTbl9[[#This Row],[listlu]])))</f>
        <v/>
      </c>
      <c r="O20">
        <f>IF(AND(fTbl9[[#This Row],[listlu]],ISERROR(FIND(",",fTbl9[[#This Row],[liMatch]])),fTbl9[[#This Row],[liMatch]]&lt;&gt;""),1,0)</f>
        <v>0</v>
      </c>
      <c r="P20">
        <f>IF(AND(fTbl9[[#This Row],[LT]]="Ref",ISNA(MATCH(fTbl9[[#This Row],[Field]],rTbl[Ref],0))),1,0)</f>
        <v>0</v>
      </c>
      <c r="Q20"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20">
        <f ca="1">FIND("~",SUBSTITUTE(fTbl9[[#This Row],[Hierarchy]],"|","~",1))</f>
        <v>7</v>
      </c>
      <c r="S20" t="e">
        <f ca="1">FIND("~",SUBSTITUTE(fTbl9[[#This Row],[Hierarchy]],"|","~",2))</f>
        <v>#VALUE!</v>
      </c>
      <c r="T20" cm="1">
        <f t="array" ref="T20">IF(fTbl9[[#This Row],[listlu]]=0,0,IF(INDEX(Ltbl[Context],fTbl9[[#This Row],[listlu]],1)="ALL",1,2))</f>
        <v>0</v>
      </c>
      <c r="U20" s="29"/>
    </row>
    <row r="21" spans="1:21">
      <c r="A21" s="15" t="s">
        <v>28</v>
      </c>
      <c r="B21" t="s">
        <v>93</v>
      </c>
      <c r="C21" t="s">
        <v>231</v>
      </c>
      <c r="D21" s="1"/>
      <c r="E21" s="1">
        <v>0</v>
      </c>
      <c r="F21" s="1"/>
      <c r="G21" s="1"/>
      <c r="H21" s="1"/>
      <c r="I21" s="19" t="s">
        <v>95</v>
      </c>
      <c r="J21" s="27" t="s">
        <v>96</v>
      </c>
      <c r="K21" t="str">
        <f ca="1">IFERROR(IF(fTbl9[[#This Row],[LT]]="H",MID(fTbl9[[#This Row],[Hierarchy]],fTbl9[[#This Row],[pipe1]]+1,fTbl9[[#This Row],[pipe2]]-fTbl9[[#This Row],[pipe1]]-1),LEFT(fTbl9[[#This Row],[Hierarchy]],FIND("|",fTbl9[[#This Row],[Hierarchy]])-1)),"")</f>
        <v>GOResp</v>
      </c>
      <c r="L21" s="1">
        <f ca="1">IF(ROW()=3,0,OFFSET(fTbl9[[#This Row],[Lev]],-1,0)+IF(OFFSET(fTbl9[[#This Row],[LT]],-1,0)="H",1,IF(fTbl9[[#This Row],[LT]]="!H",-1,0)))</f>
        <v>1</v>
      </c>
      <c r="M21">
        <f>IF(RIGHT(fTbl9[[#This Row],[valid]],4)&lt;&gt;"list",0,IFERROR(MATCH(fTbl9[[#This Row],[Context]]&amp;"|"&amp;fTbl9[[#This Row],[Field]],Ltbl[ind],0),IFERROR(MATCH("ALL|"&amp;fTbl9[[#This Row],[Field]],Ltbl[ind],0),-1)))</f>
        <v>0</v>
      </c>
      <c r="N21" t="str" cm="1">
        <f t="array" ref="N21">IF(fTbl9[[#This Row],[listlu]]&lt;1,"",IF(INDEX(Ltbl[Generic],fTbl9[[#This Row],[listlu]])="","",INDEX(Ltbl[Generic],fTbl9[[#This Row],[listlu]])))</f>
        <v/>
      </c>
      <c r="O21">
        <f>IF(AND(fTbl9[[#This Row],[listlu]],ISERROR(FIND(",",fTbl9[[#This Row],[liMatch]])),fTbl9[[#This Row],[liMatch]]&lt;&gt;""),1,0)</f>
        <v>0</v>
      </c>
      <c r="P21">
        <f>IF(AND(fTbl9[[#This Row],[LT]]="Ref",ISNA(MATCH(fTbl9[[#This Row],[Field]],rTbl[Ref],0))),1,0)</f>
        <v>0</v>
      </c>
      <c r="Q21"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21">
        <f ca="1">FIND("~",SUBSTITUTE(fTbl9[[#This Row],[Hierarchy]],"|","~",1))</f>
        <v>7</v>
      </c>
      <c r="S21" t="e">
        <f ca="1">FIND("~",SUBSTITUTE(fTbl9[[#This Row],[Hierarchy]],"|","~",2))</f>
        <v>#VALUE!</v>
      </c>
      <c r="T21" cm="1">
        <f t="array" ref="T21">IF(fTbl9[[#This Row],[listlu]]=0,0,IF(INDEX(Ltbl[Context],fTbl9[[#This Row],[listlu]],1)="ALL",1,2))</f>
        <v>0</v>
      </c>
      <c r="U21" s="29"/>
    </row>
    <row r="22" spans="1:21">
      <c r="A22" s="15" t="s">
        <v>28</v>
      </c>
      <c r="B22" t="s">
        <v>98</v>
      </c>
      <c r="C22" t="s">
        <v>231</v>
      </c>
      <c r="D22" s="1"/>
      <c r="E22" s="1">
        <v>0</v>
      </c>
      <c r="F22" s="1"/>
      <c r="G22" s="1"/>
      <c r="H22" s="1"/>
      <c r="I22" s="19" t="s">
        <v>99</v>
      </c>
      <c r="J22" s="27" t="s">
        <v>96</v>
      </c>
      <c r="K22" t="str">
        <f ca="1">IFERROR(IF(fTbl9[[#This Row],[LT]]="H",MID(fTbl9[[#This Row],[Hierarchy]],fTbl9[[#This Row],[pipe1]]+1,fTbl9[[#This Row],[pipe2]]-fTbl9[[#This Row],[pipe1]]-1),LEFT(fTbl9[[#This Row],[Hierarchy]],FIND("|",fTbl9[[#This Row],[Hierarchy]])-1)),"")</f>
        <v>GOResp</v>
      </c>
      <c r="L22" s="1">
        <f ca="1">IF(ROW()=3,0,OFFSET(fTbl9[[#This Row],[Lev]],-1,0)+IF(OFFSET(fTbl9[[#This Row],[LT]],-1,0)="H",1,IF(fTbl9[[#This Row],[LT]]="!H",-1,0)))</f>
        <v>1</v>
      </c>
      <c r="M22">
        <f>IF(RIGHT(fTbl9[[#This Row],[valid]],4)&lt;&gt;"list",0,IFERROR(MATCH(fTbl9[[#This Row],[Context]]&amp;"|"&amp;fTbl9[[#This Row],[Field]],Ltbl[ind],0),IFERROR(MATCH("ALL|"&amp;fTbl9[[#This Row],[Field]],Ltbl[ind],0),-1)))</f>
        <v>0</v>
      </c>
      <c r="N22" t="str" cm="1">
        <f t="array" ref="N22">IF(fTbl9[[#This Row],[listlu]]&lt;1,"",IF(INDEX(Ltbl[Generic],fTbl9[[#This Row],[listlu]])="","",INDEX(Ltbl[Generic],fTbl9[[#This Row],[listlu]])))</f>
        <v/>
      </c>
      <c r="O22">
        <f>IF(AND(fTbl9[[#This Row],[listlu]],ISERROR(FIND(",",fTbl9[[#This Row],[liMatch]])),fTbl9[[#This Row],[liMatch]]&lt;&gt;""),1,0)</f>
        <v>0</v>
      </c>
      <c r="P22">
        <f>IF(AND(fTbl9[[#This Row],[LT]]="Ref",ISNA(MATCH(fTbl9[[#This Row],[Field]],rTbl[Ref],0))),1,0)</f>
        <v>0</v>
      </c>
      <c r="Q22"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22">
        <f ca="1">FIND("~",SUBSTITUTE(fTbl9[[#This Row],[Hierarchy]],"|","~",1))</f>
        <v>7</v>
      </c>
      <c r="S22" t="e">
        <f ca="1">FIND("~",SUBSTITUTE(fTbl9[[#This Row],[Hierarchy]],"|","~",2))</f>
        <v>#VALUE!</v>
      </c>
      <c r="T22" cm="1">
        <f t="array" ref="T22">IF(fTbl9[[#This Row],[listlu]]=0,0,IF(INDEX(Ltbl[Context],fTbl9[[#This Row],[listlu]],1)="ALL",1,2))</f>
        <v>0</v>
      </c>
      <c r="U22" s="29"/>
    </row>
    <row r="23" spans="1:21">
      <c r="A23" s="15" t="s">
        <v>25</v>
      </c>
      <c r="B23" t="s">
        <v>101</v>
      </c>
      <c r="D23" s="1"/>
      <c r="E23" s="1"/>
      <c r="F23" s="1"/>
      <c r="G23" s="1"/>
      <c r="H23" s="1"/>
      <c r="I23" s="19" t="s">
        <v>102</v>
      </c>
      <c r="J23" s="28"/>
      <c r="K23" t="str">
        <f ca="1">IFERROR(IF(fTbl9[[#This Row],[LT]]="H",MID(fTbl9[[#This Row],[Hierarchy]],fTbl9[[#This Row],[pipe1]]+1,fTbl9[[#This Row],[pipe2]]-fTbl9[[#This Row],[pipe1]]-1),LEFT(fTbl9[[#This Row],[Hierarchy]],FIND("|",fTbl9[[#This Row],[Hierarchy]])-1)),"")</f>
        <v>GOResp</v>
      </c>
      <c r="L23" s="1">
        <f ca="1">IF(ROW()=3,0,OFFSET(fTbl9[[#This Row],[Lev]],-1,0)+IF(OFFSET(fTbl9[[#This Row],[LT]],-1,0)="H",1,IF(fTbl9[[#This Row],[LT]]="!H",-1,0)))</f>
        <v>1</v>
      </c>
      <c r="M23">
        <f>IF(RIGHT(fTbl9[[#This Row],[valid]],4)&lt;&gt;"list",0,IFERROR(MATCH(fTbl9[[#This Row],[Context]]&amp;"|"&amp;fTbl9[[#This Row],[Field]],Ltbl[ind],0),IFERROR(MATCH("ALL|"&amp;fTbl9[[#This Row],[Field]],Ltbl[ind],0),-1)))</f>
        <v>0</v>
      </c>
      <c r="N23" t="str" cm="1">
        <f t="array" ref="N23">IF(fTbl9[[#This Row],[listlu]]&lt;1,"",IF(INDEX(Ltbl[Generic],fTbl9[[#This Row],[listlu]])="","",INDEX(Ltbl[Generic],fTbl9[[#This Row],[listlu]])))</f>
        <v/>
      </c>
      <c r="O23">
        <f>IF(AND(fTbl9[[#This Row],[listlu]],ISERROR(FIND(",",fTbl9[[#This Row],[liMatch]])),fTbl9[[#This Row],[liMatch]]&lt;&gt;""),1,0)</f>
        <v>0</v>
      </c>
      <c r="P23">
        <f>IF(AND(fTbl9[[#This Row],[LT]]="Ref",ISNA(MATCH(fTbl9[[#This Row],[Field]],rTbl[Ref],0))),1,0)</f>
        <v>0</v>
      </c>
      <c r="Q23"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23">
        <f ca="1">FIND("~",SUBSTITUTE(fTbl9[[#This Row],[Hierarchy]],"|","~",1))</f>
        <v>7</v>
      </c>
      <c r="S23" t="e">
        <f ca="1">FIND("~",SUBSTITUTE(fTbl9[[#This Row],[Hierarchy]],"|","~",2))</f>
        <v>#VALUE!</v>
      </c>
      <c r="T23" cm="1">
        <f t="array" ref="T23">IF(fTbl9[[#This Row],[listlu]]=0,0,IF(INDEX(Ltbl[Context],fTbl9[[#This Row],[listlu]],1)="ALL",1,2))</f>
        <v>0</v>
      </c>
      <c r="U23" s="29"/>
    </row>
    <row r="24" spans="1:21">
      <c r="A24" s="15" t="s">
        <v>28</v>
      </c>
      <c r="B24" t="s">
        <v>232</v>
      </c>
      <c r="C24" t="s">
        <v>30</v>
      </c>
      <c r="D24" s="1">
        <v>20</v>
      </c>
      <c r="E24" s="1">
        <v>1</v>
      </c>
      <c r="F24" s="1"/>
      <c r="G24" s="1"/>
      <c r="H24" s="1" t="s">
        <v>104</v>
      </c>
      <c r="I24" s="19" t="s">
        <v>105</v>
      </c>
      <c r="J24" s="28" t="s">
        <v>45</v>
      </c>
      <c r="K24" t="str">
        <f ca="1">IFERROR(IF(fTbl9[[#This Row],[LT]]="H",MID(fTbl9[[#This Row],[Hierarchy]],fTbl9[[#This Row],[pipe1]]+1,fTbl9[[#This Row],[pipe2]]-fTbl9[[#This Row],[pipe1]]-1),LEFT(fTbl9[[#This Row],[Hierarchy]],FIND("|",fTbl9[[#This Row],[Hierarchy]])-1)),"")</f>
        <v>GOResp</v>
      </c>
      <c r="L24" s="1">
        <f ca="1">IF(ROW()=3,0,OFFSET(fTbl9[[#This Row],[Lev]],-1,0)+IF(OFFSET(fTbl9[[#This Row],[LT]],-1,0)="H",1,IF(fTbl9[[#This Row],[LT]]="!H",-1,0)))</f>
        <v>1</v>
      </c>
      <c r="M24">
        <f>IF(RIGHT(fTbl9[[#This Row],[valid]],4)&lt;&gt;"list",0,IFERROR(MATCH(fTbl9[[#This Row],[Context]]&amp;"|"&amp;fTbl9[[#This Row],[Field]],Ltbl[ind],0),IFERROR(MATCH("ALL|"&amp;fTbl9[[#This Row],[Field]],Ltbl[ind],0),-1)))</f>
        <v>0</v>
      </c>
      <c r="N24" t="str" cm="1">
        <f t="array" ref="N24">IF(fTbl9[[#This Row],[listlu]]&lt;1,"",IF(INDEX(Ltbl[Generic],fTbl9[[#This Row],[listlu]])="","",INDEX(Ltbl[Generic],fTbl9[[#This Row],[listlu]])))</f>
        <v/>
      </c>
      <c r="O24">
        <f>IF(AND(fTbl9[[#This Row],[listlu]],ISERROR(FIND(",",fTbl9[[#This Row],[liMatch]])),fTbl9[[#This Row],[liMatch]]&lt;&gt;""),1,0)</f>
        <v>0</v>
      </c>
      <c r="P24">
        <f>IF(AND(fTbl9[[#This Row],[LT]]="Ref",ISNA(MATCH(fTbl9[[#This Row],[Field]],rTbl[Ref],0))),1,0)</f>
        <v>0</v>
      </c>
      <c r="Q24"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24">
        <f ca="1">FIND("~",SUBSTITUTE(fTbl9[[#This Row],[Hierarchy]],"|","~",1))</f>
        <v>7</v>
      </c>
      <c r="S24" t="e">
        <f ca="1">FIND("~",SUBSTITUTE(fTbl9[[#This Row],[Hierarchy]],"|","~",2))</f>
        <v>#VALUE!</v>
      </c>
      <c r="T24" cm="1">
        <f t="array" ref="T24">IF(fTbl9[[#This Row],[listlu]]=0,0,IF(INDEX(Ltbl[Context],fTbl9[[#This Row],[listlu]],1)="ALL",1,2))</f>
        <v>0</v>
      </c>
      <c r="U24" s="29"/>
    </row>
    <row r="25" spans="1:21">
      <c r="A25" s="15" t="s">
        <v>28</v>
      </c>
      <c r="B25" t="s">
        <v>181</v>
      </c>
      <c r="C25" t="s">
        <v>30</v>
      </c>
      <c r="D25" s="1">
        <v>20</v>
      </c>
      <c r="E25" s="1">
        <v>1</v>
      </c>
      <c r="F25" s="1"/>
      <c r="G25" s="1"/>
      <c r="H25" s="1"/>
      <c r="I25" s="19" t="s">
        <v>233</v>
      </c>
      <c r="J25" s="28"/>
      <c r="K25" t="str">
        <f ca="1">IFERROR(IF(fTbl9[[#This Row],[LT]]="H",MID(fTbl9[[#This Row],[Hierarchy]],fTbl9[[#This Row],[pipe1]]+1,fTbl9[[#This Row],[pipe2]]-fTbl9[[#This Row],[pipe1]]-1),LEFT(fTbl9[[#This Row],[Hierarchy]],FIND("|",fTbl9[[#This Row],[Hierarchy]])-1)),"")</f>
        <v>GOResp</v>
      </c>
      <c r="L25" s="1">
        <f ca="1">IF(ROW()=3,0,OFFSET(fTbl9[[#This Row],[Lev]],-1,0)+IF(OFFSET(fTbl9[[#This Row],[LT]],-1,0)="H",1,IF(fTbl9[[#This Row],[LT]]="!H",-1,0)))</f>
        <v>1</v>
      </c>
      <c r="M25">
        <f>IF(RIGHT(fTbl9[[#This Row],[valid]],4)&lt;&gt;"list",0,IFERROR(MATCH(fTbl9[[#This Row],[Context]]&amp;"|"&amp;fTbl9[[#This Row],[Field]],Ltbl[ind],0),IFERROR(MATCH("ALL|"&amp;fTbl9[[#This Row],[Field]],Ltbl[ind],0),-1)))</f>
        <v>0</v>
      </c>
      <c r="N25" t="str" cm="1">
        <f t="array" ref="N25">IF(fTbl9[[#This Row],[listlu]]&lt;1,"",IF(INDEX(Ltbl[Generic],fTbl9[[#This Row],[listlu]])="","",INDEX(Ltbl[Generic],fTbl9[[#This Row],[listlu]])))</f>
        <v/>
      </c>
      <c r="O25">
        <f>IF(AND(fTbl9[[#This Row],[listlu]],ISERROR(FIND(",",fTbl9[[#This Row],[liMatch]])),fTbl9[[#This Row],[liMatch]]&lt;&gt;""),1,0)</f>
        <v>0</v>
      </c>
      <c r="P25">
        <f>IF(AND(fTbl9[[#This Row],[LT]]="Ref",ISNA(MATCH(fTbl9[[#This Row],[Field]],rTbl[Ref],0))),1,0)</f>
        <v>0</v>
      </c>
      <c r="Q25"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25">
        <f ca="1">FIND("~",SUBSTITUTE(fTbl9[[#This Row],[Hierarchy]],"|","~",1))</f>
        <v>7</v>
      </c>
      <c r="S25" t="e">
        <f ca="1">FIND("~",SUBSTITUTE(fTbl9[[#This Row],[Hierarchy]],"|","~",2))</f>
        <v>#VALUE!</v>
      </c>
      <c r="T25" cm="1">
        <f t="array" ref="T25">IF(fTbl9[[#This Row],[listlu]]=0,0,IF(INDEX(Ltbl[Context],fTbl9[[#This Row],[listlu]],1)="ALL",1,2))</f>
        <v>0</v>
      </c>
      <c r="U25" s="29"/>
    </row>
    <row r="26" spans="1:21">
      <c r="A26" s="15" t="s">
        <v>28</v>
      </c>
      <c r="B26" t="s">
        <v>107</v>
      </c>
      <c r="C26" t="s">
        <v>30</v>
      </c>
      <c r="D26" s="1">
        <v>35</v>
      </c>
      <c r="E26" s="1">
        <v>1</v>
      </c>
      <c r="F26" s="1"/>
      <c r="G26" s="1"/>
      <c r="H26" s="1"/>
      <c r="I26" s="19" t="s">
        <v>108</v>
      </c>
      <c r="J26" s="28" t="s">
        <v>109</v>
      </c>
      <c r="K26" t="str">
        <f ca="1">IFERROR(IF(fTbl9[[#This Row],[LT]]="H",MID(fTbl9[[#This Row],[Hierarchy]],fTbl9[[#This Row],[pipe1]]+1,fTbl9[[#This Row],[pipe2]]-fTbl9[[#This Row],[pipe1]]-1),LEFT(fTbl9[[#This Row],[Hierarchy]],FIND("|",fTbl9[[#This Row],[Hierarchy]])-1)),"")</f>
        <v>GOResp</v>
      </c>
      <c r="L26" s="1">
        <f ca="1">IF(ROW()=3,0,OFFSET(fTbl9[[#This Row],[Lev]],-1,0)+IF(OFFSET(fTbl9[[#This Row],[LT]],-1,0)="H",1,IF(fTbl9[[#This Row],[LT]]="!H",-1,0)))</f>
        <v>1</v>
      </c>
      <c r="M26">
        <f>IF(RIGHT(fTbl9[[#This Row],[valid]],4)&lt;&gt;"list",0,IFERROR(MATCH(fTbl9[[#This Row],[Context]]&amp;"|"&amp;fTbl9[[#This Row],[Field]],Ltbl[ind],0),IFERROR(MATCH("ALL|"&amp;fTbl9[[#This Row],[Field]],Ltbl[ind],0),-1)))</f>
        <v>0</v>
      </c>
      <c r="N26" t="str" cm="1">
        <f t="array" ref="N26">IF(fTbl9[[#This Row],[listlu]]&lt;1,"",IF(INDEX(Ltbl[Generic],fTbl9[[#This Row],[listlu]])="","",INDEX(Ltbl[Generic],fTbl9[[#This Row],[listlu]])))</f>
        <v/>
      </c>
      <c r="O26">
        <f>IF(AND(fTbl9[[#This Row],[listlu]],ISERROR(FIND(",",fTbl9[[#This Row],[liMatch]])),fTbl9[[#This Row],[liMatch]]&lt;&gt;""),1,0)</f>
        <v>0</v>
      </c>
      <c r="P26">
        <f>IF(AND(fTbl9[[#This Row],[LT]]="Ref",ISNA(MATCH(fTbl9[[#This Row],[Field]],rTbl[Ref],0))),1,0)</f>
        <v>0</v>
      </c>
      <c r="Q26"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26">
        <f ca="1">FIND("~",SUBSTITUTE(fTbl9[[#This Row],[Hierarchy]],"|","~",1))</f>
        <v>7</v>
      </c>
      <c r="S26" t="e">
        <f ca="1">FIND("~",SUBSTITUTE(fTbl9[[#This Row],[Hierarchy]],"|","~",2))</f>
        <v>#VALUE!</v>
      </c>
      <c r="T26" cm="1">
        <f t="array" ref="T26">IF(fTbl9[[#This Row],[listlu]]=0,0,IF(INDEX(Ltbl[Context],fTbl9[[#This Row],[listlu]],1)="ALL",1,2))</f>
        <v>0</v>
      </c>
      <c r="U26" s="29"/>
    </row>
    <row r="27" spans="1:21">
      <c r="A27" s="15" t="s">
        <v>28</v>
      </c>
      <c r="B27" t="s">
        <v>111</v>
      </c>
      <c r="C27" t="s">
        <v>30</v>
      </c>
      <c r="D27" s="1">
        <v>35</v>
      </c>
      <c r="E27" s="1">
        <v>0</v>
      </c>
      <c r="F27" s="1"/>
      <c r="G27" s="1"/>
      <c r="H27" s="1"/>
      <c r="I27" s="19" t="s">
        <v>108</v>
      </c>
      <c r="J27" s="28" t="s">
        <v>112</v>
      </c>
      <c r="K27" t="str">
        <f ca="1">IFERROR(IF(fTbl9[[#This Row],[LT]]="H",MID(fTbl9[[#This Row],[Hierarchy]],fTbl9[[#This Row],[pipe1]]+1,fTbl9[[#This Row],[pipe2]]-fTbl9[[#This Row],[pipe1]]-1),LEFT(fTbl9[[#This Row],[Hierarchy]],FIND("|",fTbl9[[#This Row],[Hierarchy]])-1)),"")</f>
        <v>GOResp</v>
      </c>
      <c r="L27" s="1">
        <f ca="1">IF(ROW()=3,0,OFFSET(fTbl9[[#This Row],[Lev]],-1,0)+IF(OFFSET(fTbl9[[#This Row],[LT]],-1,0)="H",1,IF(fTbl9[[#This Row],[LT]]="!H",-1,0)))</f>
        <v>1</v>
      </c>
      <c r="M27">
        <f>IF(RIGHT(fTbl9[[#This Row],[valid]],4)&lt;&gt;"list",0,IFERROR(MATCH(fTbl9[[#This Row],[Context]]&amp;"|"&amp;fTbl9[[#This Row],[Field]],Ltbl[ind],0),IFERROR(MATCH("ALL|"&amp;fTbl9[[#This Row],[Field]],Ltbl[ind],0),-1)))</f>
        <v>0</v>
      </c>
      <c r="N27" t="str" cm="1">
        <f t="array" ref="N27">IF(fTbl9[[#This Row],[listlu]]&lt;1,"",IF(INDEX(Ltbl[Generic],fTbl9[[#This Row],[listlu]])="","",INDEX(Ltbl[Generic],fTbl9[[#This Row],[listlu]])))</f>
        <v/>
      </c>
      <c r="O27">
        <f>IF(AND(fTbl9[[#This Row],[listlu]],ISERROR(FIND(",",fTbl9[[#This Row],[liMatch]])),fTbl9[[#This Row],[liMatch]]&lt;&gt;""),1,0)</f>
        <v>0</v>
      </c>
      <c r="P27">
        <f>IF(AND(fTbl9[[#This Row],[LT]]="Ref",ISNA(MATCH(fTbl9[[#This Row],[Field]],rTbl[Ref],0))),1,0)</f>
        <v>0</v>
      </c>
      <c r="Q27"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27">
        <f ca="1">FIND("~",SUBSTITUTE(fTbl9[[#This Row],[Hierarchy]],"|","~",1))</f>
        <v>7</v>
      </c>
      <c r="S27" t="e">
        <f ca="1">FIND("~",SUBSTITUTE(fTbl9[[#This Row],[Hierarchy]],"|","~",2))</f>
        <v>#VALUE!</v>
      </c>
      <c r="T27" cm="1">
        <f t="array" ref="T27">IF(fTbl9[[#This Row],[listlu]]=0,0,IF(INDEX(Ltbl[Context],fTbl9[[#This Row],[listlu]],1)="ALL",1,2))</f>
        <v>0</v>
      </c>
      <c r="U27" s="29"/>
    </row>
    <row r="28" spans="1:21">
      <c r="A28" s="15" t="s">
        <v>28</v>
      </c>
      <c r="B28" t="s">
        <v>114</v>
      </c>
      <c r="C28" t="s">
        <v>30</v>
      </c>
      <c r="D28" s="1">
        <v>35</v>
      </c>
      <c r="E28" s="1">
        <v>0</v>
      </c>
      <c r="F28" s="1"/>
      <c r="G28" s="1"/>
      <c r="H28" s="1"/>
      <c r="I28" s="19" t="s">
        <v>115</v>
      </c>
      <c r="J28" s="28"/>
      <c r="K28" t="str">
        <f ca="1">IFERROR(IF(fTbl9[[#This Row],[LT]]="H",MID(fTbl9[[#This Row],[Hierarchy]],fTbl9[[#This Row],[pipe1]]+1,fTbl9[[#This Row],[pipe2]]-fTbl9[[#This Row],[pipe1]]-1),LEFT(fTbl9[[#This Row],[Hierarchy]],FIND("|",fTbl9[[#This Row],[Hierarchy]])-1)),"")</f>
        <v>GOResp</v>
      </c>
      <c r="L28" s="1">
        <f ca="1">IF(ROW()=3,0,OFFSET(fTbl9[[#This Row],[Lev]],-1,0)+IF(OFFSET(fTbl9[[#This Row],[LT]],-1,0)="H",1,IF(fTbl9[[#This Row],[LT]]="!H",-1,0)))</f>
        <v>1</v>
      </c>
      <c r="M28">
        <f>IF(RIGHT(fTbl9[[#This Row],[valid]],4)&lt;&gt;"list",0,IFERROR(MATCH(fTbl9[[#This Row],[Context]]&amp;"|"&amp;fTbl9[[#This Row],[Field]],Ltbl[ind],0),IFERROR(MATCH("ALL|"&amp;fTbl9[[#This Row],[Field]],Ltbl[ind],0),-1)))</f>
        <v>0</v>
      </c>
      <c r="N28" t="str" cm="1">
        <f t="array" ref="N28">IF(fTbl9[[#This Row],[listlu]]&lt;1,"",IF(INDEX(Ltbl[Generic],fTbl9[[#This Row],[listlu]])="","",INDEX(Ltbl[Generic],fTbl9[[#This Row],[listlu]])))</f>
        <v/>
      </c>
      <c r="O28">
        <f>IF(AND(fTbl9[[#This Row],[listlu]],ISERROR(FIND(",",fTbl9[[#This Row],[liMatch]])),fTbl9[[#This Row],[liMatch]]&lt;&gt;""),1,0)</f>
        <v>0</v>
      </c>
      <c r="P28">
        <f>IF(AND(fTbl9[[#This Row],[LT]]="Ref",ISNA(MATCH(fTbl9[[#This Row],[Field]],rTbl[Ref],0))),1,0)</f>
        <v>0</v>
      </c>
      <c r="Q28"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28">
        <f ca="1">FIND("~",SUBSTITUTE(fTbl9[[#This Row],[Hierarchy]],"|","~",1))</f>
        <v>7</v>
      </c>
      <c r="S28" t="e">
        <f ca="1">FIND("~",SUBSTITUTE(fTbl9[[#This Row],[Hierarchy]],"|","~",2))</f>
        <v>#VALUE!</v>
      </c>
      <c r="T28" cm="1">
        <f t="array" ref="T28">IF(fTbl9[[#This Row],[listlu]]=0,0,IF(INDEX(Ltbl[Context],fTbl9[[#This Row],[listlu]],1)="ALL",1,2))</f>
        <v>0</v>
      </c>
      <c r="U28" s="29"/>
    </row>
    <row r="29" spans="1:21">
      <c r="A29" s="15" t="s">
        <v>25</v>
      </c>
      <c r="B29" t="s">
        <v>234</v>
      </c>
      <c r="D29" s="1"/>
      <c r="E29" s="1"/>
      <c r="F29" s="1"/>
      <c r="G29" s="1"/>
      <c r="H29" s="1"/>
      <c r="I29" s="19" t="s">
        <v>235</v>
      </c>
      <c r="J29" s="28"/>
      <c r="K29" t="str">
        <f ca="1">IFERROR(IF(fTbl9[[#This Row],[LT]]="H",MID(fTbl9[[#This Row],[Hierarchy]],fTbl9[[#This Row],[pipe1]]+1,fTbl9[[#This Row],[pipe2]]-fTbl9[[#This Row],[pipe1]]-1),LEFT(fTbl9[[#This Row],[Hierarchy]],FIND("|",fTbl9[[#This Row],[Hierarchy]])-1)),"")</f>
        <v>GOResp</v>
      </c>
      <c r="L29" s="1">
        <f ca="1">IF(ROW()=3,0,OFFSET(fTbl9[[#This Row],[Lev]],-1,0)+IF(OFFSET(fTbl9[[#This Row],[LT]],-1,0)="H",1,IF(fTbl9[[#This Row],[LT]]="!H",-1,0)))</f>
        <v>1</v>
      </c>
      <c r="M29">
        <f>IF(RIGHT(fTbl9[[#This Row],[valid]],4)&lt;&gt;"list",0,IFERROR(MATCH(fTbl9[[#This Row],[Context]]&amp;"|"&amp;fTbl9[[#This Row],[Field]],Ltbl[ind],0),IFERROR(MATCH("ALL|"&amp;fTbl9[[#This Row],[Field]],Ltbl[ind],0),-1)))</f>
        <v>0</v>
      </c>
      <c r="N29" t="str" cm="1">
        <f t="array" ref="N29">IF(fTbl9[[#This Row],[listlu]]&lt;1,"",IF(INDEX(Ltbl[Generic],fTbl9[[#This Row],[listlu]])="","",INDEX(Ltbl[Generic],fTbl9[[#This Row],[listlu]])))</f>
        <v/>
      </c>
      <c r="O29">
        <f>IF(AND(fTbl9[[#This Row],[listlu]],ISERROR(FIND(",",fTbl9[[#This Row],[liMatch]])),fTbl9[[#This Row],[liMatch]]&lt;&gt;""),1,0)</f>
        <v>0</v>
      </c>
      <c r="P29">
        <f>IF(AND(fTbl9[[#This Row],[LT]]="Ref",ISNA(MATCH(fTbl9[[#This Row],[Field]],rTbl[Ref],0))),1,0)</f>
        <v>0</v>
      </c>
      <c r="Q29"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29">
        <f ca="1">FIND("~",SUBSTITUTE(fTbl9[[#This Row],[Hierarchy]],"|","~",1))</f>
        <v>7</v>
      </c>
      <c r="S29" t="e">
        <f ca="1">FIND("~",SUBSTITUTE(fTbl9[[#This Row],[Hierarchy]],"|","~",2))</f>
        <v>#VALUE!</v>
      </c>
      <c r="T29" cm="1">
        <f t="array" ref="T29">IF(fTbl9[[#This Row],[listlu]]=0,0,IF(INDEX(Ltbl[Context],fTbl9[[#This Row],[listlu]],1)="ALL",1,2))</f>
        <v>0</v>
      </c>
      <c r="U29" s="29"/>
    </row>
    <row r="30" spans="1:21">
      <c r="A30" s="15" t="s">
        <v>28</v>
      </c>
      <c r="B30" t="s">
        <v>236</v>
      </c>
      <c r="C30" t="s">
        <v>84</v>
      </c>
      <c r="D30" s="1"/>
      <c r="E30" s="1">
        <v>0</v>
      </c>
      <c r="F30" s="1"/>
      <c r="G30" s="1"/>
      <c r="H30" s="1"/>
      <c r="I30" s="19" t="s">
        <v>237</v>
      </c>
      <c r="J30" s="28" t="s">
        <v>200</v>
      </c>
      <c r="K30" t="str">
        <f ca="1">IFERROR(IF(fTbl9[[#This Row],[LT]]="H",MID(fTbl9[[#This Row],[Hierarchy]],fTbl9[[#This Row],[pipe1]]+1,fTbl9[[#This Row],[pipe2]]-fTbl9[[#This Row],[pipe1]]-1),LEFT(fTbl9[[#This Row],[Hierarchy]],FIND("|",fTbl9[[#This Row],[Hierarchy]])-1)),"")</f>
        <v>GOResp</v>
      </c>
      <c r="L30" s="1">
        <f ca="1">IF(ROW()=3,0,OFFSET(fTbl9[[#This Row],[Lev]],-1,0)+IF(OFFSET(fTbl9[[#This Row],[LT]],-1,0)="H",1,IF(fTbl9[[#This Row],[LT]]="!H",-1,0)))</f>
        <v>1</v>
      </c>
      <c r="M30">
        <f>IF(RIGHT(fTbl9[[#This Row],[valid]],4)&lt;&gt;"list",0,IFERROR(MATCH(fTbl9[[#This Row],[Context]]&amp;"|"&amp;fTbl9[[#This Row],[Field]],Ltbl[ind],0),IFERROR(MATCH("ALL|"&amp;fTbl9[[#This Row],[Field]],Ltbl[ind],0),-1)))</f>
        <v>0</v>
      </c>
      <c r="N30" t="str" cm="1">
        <f t="array" ref="N30">IF(fTbl9[[#This Row],[listlu]]&lt;1,"",IF(INDEX(Ltbl[Generic],fTbl9[[#This Row],[listlu]])="","",INDEX(Ltbl[Generic],fTbl9[[#This Row],[listlu]])))</f>
        <v/>
      </c>
      <c r="O30">
        <f>IF(AND(fTbl9[[#This Row],[listlu]],ISERROR(FIND(",",fTbl9[[#This Row],[liMatch]])),fTbl9[[#This Row],[liMatch]]&lt;&gt;""),1,0)</f>
        <v>0</v>
      </c>
      <c r="P30">
        <f>IF(AND(fTbl9[[#This Row],[LT]]="Ref",ISNA(MATCH(fTbl9[[#This Row],[Field]],rTbl[Ref],0))),1,0)</f>
        <v>0</v>
      </c>
      <c r="Q30"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30">
        <f ca="1">FIND("~",SUBSTITUTE(fTbl9[[#This Row],[Hierarchy]],"|","~",1))</f>
        <v>7</v>
      </c>
      <c r="S30" t="e">
        <f ca="1">FIND("~",SUBSTITUTE(fTbl9[[#This Row],[Hierarchy]],"|","~",2))</f>
        <v>#VALUE!</v>
      </c>
      <c r="T30" cm="1">
        <f t="array" ref="T30">IF(fTbl9[[#This Row],[listlu]]=0,0,IF(INDEX(Ltbl[Context],fTbl9[[#This Row],[listlu]],1)="ALL",1,2))</f>
        <v>0</v>
      </c>
      <c r="U30" s="29"/>
    </row>
    <row r="31" spans="1:21">
      <c r="A31" s="15" t="s">
        <v>28</v>
      </c>
      <c r="B31" t="s">
        <v>238</v>
      </c>
      <c r="C31" t="s">
        <v>133</v>
      </c>
      <c r="D31" s="1"/>
      <c r="E31" s="1">
        <v>0</v>
      </c>
      <c r="F31" s="1"/>
      <c r="G31" s="1"/>
      <c r="H31" s="1"/>
      <c r="I31" s="19" t="s">
        <v>239</v>
      </c>
      <c r="J31" s="28" t="s">
        <v>240</v>
      </c>
      <c r="K31" t="str">
        <f ca="1">IFERROR(IF(fTbl9[[#This Row],[LT]]="H",MID(fTbl9[[#This Row],[Hierarchy]],fTbl9[[#This Row],[pipe1]]+1,fTbl9[[#This Row],[pipe2]]-fTbl9[[#This Row],[pipe1]]-1),LEFT(fTbl9[[#This Row],[Hierarchy]],FIND("|",fTbl9[[#This Row],[Hierarchy]])-1)),"")</f>
        <v>GOResp</v>
      </c>
      <c r="L31" s="1">
        <f ca="1">IF(ROW()=3,0,OFFSET(fTbl9[[#This Row],[Lev]],-1,0)+IF(OFFSET(fTbl9[[#This Row],[LT]],-1,0)="H",1,IF(fTbl9[[#This Row],[LT]]="!H",-1,0)))</f>
        <v>1</v>
      </c>
      <c r="M31">
        <f>IF(RIGHT(fTbl9[[#This Row],[valid]],4)&lt;&gt;"list",0,IFERROR(MATCH(fTbl9[[#This Row],[Context]]&amp;"|"&amp;fTbl9[[#This Row],[Field]],Ltbl[ind],0),IFERROR(MATCH("ALL|"&amp;fTbl9[[#This Row],[Field]],Ltbl[ind],0),-1)))</f>
        <v>0</v>
      </c>
      <c r="N31" t="str" cm="1">
        <f t="array" ref="N31">IF(fTbl9[[#This Row],[listlu]]&lt;1,"",IF(INDEX(Ltbl[Generic],fTbl9[[#This Row],[listlu]])="","",INDEX(Ltbl[Generic],fTbl9[[#This Row],[listlu]])))</f>
        <v/>
      </c>
      <c r="O31">
        <f>IF(AND(fTbl9[[#This Row],[listlu]],ISERROR(FIND(",",fTbl9[[#This Row],[liMatch]])),fTbl9[[#This Row],[liMatch]]&lt;&gt;""),1,0)</f>
        <v>0</v>
      </c>
      <c r="P31">
        <f>IF(AND(fTbl9[[#This Row],[LT]]="Ref",ISNA(MATCH(fTbl9[[#This Row],[Field]],rTbl[Ref],0))),1,0)</f>
        <v>0</v>
      </c>
      <c r="Q31"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31">
        <f ca="1">FIND("~",SUBSTITUTE(fTbl9[[#This Row],[Hierarchy]],"|","~",1))</f>
        <v>7</v>
      </c>
      <c r="S31" t="e">
        <f ca="1">FIND("~",SUBSTITUTE(fTbl9[[#This Row],[Hierarchy]],"|","~",2))</f>
        <v>#VALUE!</v>
      </c>
      <c r="T31" cm="1">
        <f t="array" ref="T31">IF(fTbl9[[#This Row],[listlu]]=0,0,IF(INDEX(Ltbl[Context],fTbl9[[#This Row],[listlu]],1)="ALL",1,2))</f>
        <v>0</v>
      </c>
      <c r="U31" s="29"/>
    </row>
    <row r="32" spans="1:21">
      <c r="A32" s="15" t="s">
        <v>28</v>
      </c>
      <c r="B32" t="s">
        <v>241</v>
      </c>
      <c r="C32" t="s">
        <v>30</v>
      </c>
      <c r="D32" s="1">
        <v>5</v>
      </c>
      <c r="E32" s="1">
        <v>0</v>
      </c>
      <c r="F32" s="1"/>
      <c r="G32" s="1"/>
      <c r="H32" s="1"/>
      <c r="I32" s="19"/>
      <c r="J32" s="28" t="s">
        <v>242</v>
      </c>
      <c r="K32" t="str">
        <f ca="1">IFERROR(IF(fTbl9[[#This Row],[LT]]="H",MID(fTbl9[[#This Row],[Hierarchy]],fTbl9[[#This Row],[pipe1]]+1,fTbl9[[#This Row],[pipe2]]-fTbl9[[#This Row],[pipe1]]-1),LEFT(fTbl9[[#This Row],[Hierarchy]],FIND("|",fTbl9[[#This Row],[Hierarchy]])-1)),"")</f>
        <v>GOResp</v>
      </c>
      <c r="L32" s="1">
        <f ca="1">IF(ROW()=3,0,OFFSET(fTbl9[[#This Row],[Lev]],-1,0)+IF(OFFSET(fTbl9[[#This Row],[LT]],-1,0)="H",1,IF(fTbl9[[#This Row],[LT]]="!H",-1,0)))</f>
        <v>1</v>
      </c>
      <c r="M32">
        <f>IF(RIGHT(fTbl9[[#This Row],[valid]],4)&lt;&gt;"list",0,IFERROR(MATCH(fTbl9[[#This Row],[Context]]&amp;"|"&amp;fTbl9[[#This Row],[Field]],Ltbl[ind],0),IFERROR(MATCH("ALL|"&amp;fTbl9[[#This Row],[Field]],Ltbl[ind],0),-1)))</f>
        <v>0</v>
      </c>
      <c r="N32" t="str" cm="1">
        <f t="array" ref="N32">IF(fTbl9[[#This Row],[listlu]]&lt;1,"",IF(INDEX(Ltbl[Generic],fTbl9[[#This Row],[listlu]])="","",INDEX(Ltbl[Generic],fTbl9[[#This Row],[listlu]])))</f>
        <v/>
      </c>
      <c r="O32">
        <f>IF(AND(fTbl9[[#This Row],[listlu]],ISERROR(FIND(",",fTbl9[[#This Row],[liMatch]])),fTbl9[[#This Row],[liMatch]]&lt;&gt;""),1,0)</f>
        <v>0</v>
      </c>
      <c r="P32">
        <f>IF(AND(fTbl9[[#This Row],[LT]]="Ref",ISNA(MATCH(fTbl9[[#This Row],[Field]],rTbl[Ref],0))),1,0)</f>
        <v>0</v>
      </c>
      <c r="Q32"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32">
        <f ca="1">FIND("~",SUBSTITUTE(fTbl9[[#This Row],[Hierarchy]],"|","~",1))</f>
        <v>7</v>
      </c>
      <c r="S32" t="e">
        <f ca="1">FIND("~",SUBSTITUTE(fTbl9[[#This Row],[Hierarchy]],"|","~",2))</f>
        <v>#VALUE!</v>
      </c>
      <c r="T32" cm="1">
        <f t="array" ref="T32">IF(fTbl9[[#This Row],[listlu]]=0,0,IF(INDEX(Ltbl[Context],fTbl9[[#This Row],[listlu]],1)="ALL",1,2))</f>
        <v>0</v>
      </c>
      <c r="U32" s="29"/>
    </row>
    <row r="33" spans="1:21">
      <c r="A33" s="15" t="s">
        <v>28</v>
      </c>
      <c r="B33" t="s">
        <v>72</v>
      </c>
      <c r="C33" t="s">
        <v>30</v>
      </c>
      <c r="D33" s="1">
        <v>20</v>
      </c>
      <c r="E33" s="1">
        <v>0</v>
      </c>
      <c r="F33" s="1"/>
      <c r="G33" s="1"/>
      <c r="H33" s="1"/>
      <c r="I33" s="19" t="s">
        <v>243</v>
      </c>
      <c r="J33" s="28" t="s">
        <v>244</v>
      </c>
      <c r="K33" t="str">
        <f ca="1">IFERROR(IF(fTbl9[[#This Row],[LT]]="H",MID(fTbl9[[#This Row],[Hierarchy]],fTbl9[[#This Row],[pipe1]]+1,fTbl9[[#This Row],[pipe2]]-fTbl9[[#This Row],[pipe1]]-1),LEFT(fTbl9[[#This Row],[Hierarchy]],FIND("|",fTbl9[[#This Row],[Hierarchy]])-1)),"")</f>
        <v>GOResp</v>
      </c>
      <c r="L33" s="1">
        <f ca="1">IF(ROW()=3,0,OFFSET(fTbl9[[#This Row],[Lev]],-1,0)+IF(OFFSET(fTbl9[[#This Row],[LT]],-1,0)="H",1,IF(fTbl9[[#This Row],[LT]]="!H",-1,0)))</f>
        <v>1</v>
      </c>
      <c r="M33">
        <f>IF(RIGHT(fTbl9[[#This Row],[valid]],4)&lt;&gt;"list",0,IFERROR(MATCH(fTbl9[[#This Row],[Context]]&amp;"|"&amp;fTbl9[[#This Row],[Field]],Ltbl[ind],0),IFERROR(MATCH("ALL|"&amp;fTbl9[[#This Row],[Field]],Ltbl[ind],0),-1)))</f>
        <v>0</v>
      </c>
      <c r="N33" t="str" cm="1">
        <f t="array" ref="N33">IF(fTbl9[[#This Row],[listlu]]&lt;1,"",IF(INDEX(Ltbl[Generic],fTbl9[[#This Row],[listlu]])="","",INDEX(Ltbl[Generic],fTbl9[[#This Row],[listlu]])))</f>
        <v/>
      </c>
      <c r="O33">
        <f>IF(AND(fTbl9[[#This Row],[listlu]],ISERROR(FIND(",",fTbl9[[#This Row],[liMatch]])),fTbl9[[#This Row],[liMatch]]&lt;&gt;""),1,0)</f>
        <v>0</v>
      </c>
      <c r="P33">
        <f>IF(AND(fTbl9[[#This Row],[LT]]="Ref",ISNA(MATCH(fTbl9[[#This Row],[Field]],rTbl[Ref],0))),1,0)</f>
        <v>0</v>
      </c>
      <c r="Q33"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33">
        <f ca="1">FIND("~",SUBSTITUTE(fTbl9[[#This Row],[Hierarchy]],"|","~",1))</f>
        <v>7</v>
      </c>
      <c r="S33" t="e">
        <f ca="1">FIND("~",SUBSTITUTE(fTbl9[[#This Row],[Hierarchy]],"|","~",2))</f>
        <v>#VALUE!</v>
      </c>
      <c r="T33" cm="1">
        <f t="array" ref="T33">IF(fTbl9[[#This Row],[listlu]]=0,0,IF(INDEX(Ltbl[Context],fTbl9[[#This Row],[listlu]],1)="ALL",1,2))</f>
        <v>0</v>
      </c>
      <c r="U33" s="29"/>
    </row>
    <row r="34" spans="1:21">
      <c r="A34" s="15" t="s">
        <v>28</v>
      </c>
      <c r="B34" t="s">
        <v>68</v>
      </c>
      <c r="C34" t="s">
        <v>30</v>
      </c>
      <c r="D34" s="1">
        <v>10</v>
      </c>
      <c r="E34" s="1">
        <v>0</v>
      </c>
      <c r="F34" s="1"/>
      <c r="G34" s="1"/>
      <c r="H34" s="1"/>
      <c r="I34" s="19" t="s">
        <v>245</v>
      </c>
      <c r="J34" s="28" t="s">
        <v>246</v>
      </c>
      <c r="K34" t="str">
        <f ca="1">IFERROR(IF(fTbl9[[#This Row],[LT]]="H",MID(fTbl9[[#This Row],[Hierarchy]],fTbl9[[#This Row],[pipe1]]+1,fTbl9[[#This Row],[pipe2]]-fTbl9[[#This Row],[pipe1]]-1),LEFT(fTbl9[[#This Row],[Hierarchy]],FIND("|",fTbl9[[#This Row],[Hierarchy]])-1)),"")</f>
        <v>GOResp</v>
      </c>
      <c r="L34" s="1">
        <f ca="1">IF(ROW()=3,0,OFFSET(fTbl9[[#This Row],[Lev]],-1,0)+IF(OFFSET(fTbl9[[#This Row],[LT]],-1,0)="H",1,IF(fTbl9[[#This Row],[LT]]="!H",-1,0)))</f>
        <v>1</v>
      </c>
      <c r="M34">
        <f>IF(RIGHT(fTbl9[[#This Row],[valid]],4)&lt;&gt;"list",0,IFERROR(MATCH(fTbl9[[#This Row],[Context]]&amp;"|"&amp;fTbl9[[#This Row],[Field]],Ltbl[ind],0),IFERROR(MATCH("ALL|"&amp;fTbl9[[#This Row],[Field]],Ltbl[ind],0),-1)))</f>
        <v>0</v>
      </c>
      <c r="N34" t="str" cm="1">
        <f t="array" ref="N34">IF(fTbl9[[#This Row],[listlu]]&lt;1,"",IF(INDEX(Ltbl[Generic],fTbl9[[#This Row],[listlu]])="","",INDEX(Ltbl[Generic],fTbl9[[#This Row],[listlu]])))</f>
        <v/>
      </c>
      <c r="O34">
        <f>IF(AND(fTbl9[[#This Row],[listlu]],ISERROR(FIND(",",fTbl9[[#This Row],[liMatch]])),fTbl9[[#This Row],[liMatch]]&lt;&gt;""),1,0)</f>
        <v>0</v>
      </c>
      <c r="P34">
        <f>IF(AND(fTbl9[[#This Row],[LT]]="Ref",ISNA(MATCH(fTbl9[[#This Row],[Field]],rTbl[Ref],0))),1,0)</f>
        <v>0</v>
      </c>
      <c r="Q34"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34">
        <f ca="1">FIND("~",SUBSTITUTE(fTbl9[[#This Row],[Hierarchy]],"|","~",1))</f>
        <v>7</v>
      </c>
      <c r="S34" t="e">
        <f ca="1">FIND("~",SUBSTITUTE(fTbl9[[#This Row],[Hierarchy]],"|","~",2))</f>
        <v>#VALUE!</v>
      </c>
      <c r="T34" cm="1">
        <f t="array" ref="T34">IF(fTbl9[[#This Row],[listlu]]=0,0,IF(INDEX(Ltbl[Context],fTbl9[[#This Row],[listlu]],1)="ALL",1,2))</f>
        <v>0</v>
      </c>
      <c r="U34" s="29"/>
    </row>
    <row r="35" spans="1:21">
      <c r="A35" s="15" t="s">
        <v>28</v>
      </c>
      <c r="B35" t="s">
        <v>247</v>
      </c>
      <c r="C35" t="s">
        <v>30</v>
      </c>
      <c r="D35" s="1">
        <v>50</v>
      </c>
      <c r="E35" s="1">
        <v>0</v>
      </c>
      <c r="F35" s="1"/>
      <c r="G35" s="1"/>
      <c r="H35" s="1"/>
      <c r="I35" s="19" t="s">
        <v>248</v>
      </c>
      <c r="J35" s="28" t="s">
        <v>249</v>
      </c>
      <c r="K35" t="str">
        <f ca="1">IFERROR(IF(fTbl9[[#This Row],[LT]]="H",MID(fTbl9[[#This Row],[Hierarchy]],fTbl9[[#This Row],[pipe1]]+1,fTbl9[[#This Row],[pipe2]]-fTbl9[[#This Row],[pipe1]]-1),LEFT(fTbl9[[#This Row],[Hierarchy]],FIND("|",fTbl9[[#This Row],[Hierarchy]])-1)),"")</f>
        <v>GOResp</v>
      </c>
      <c r="L35" s="1">
        <f ca="1">IF(ROW()=3,0,OFFSET(fTbl9[[#This Row],[Lev]],-1,0)+IF(OFFSET(fTbl9[[#This Row],[LT]],-1,0)="H",1,IF(fTbl9[[#This Row],[LT]]="!H",-1,0)))</f>
        <v>1</v>
      </c>
      <c r="M35">
        <f>IF(RIGHT(fTbl9[[#This Row],[valid]],4)&lt;&gt;"list",0,IFERROR(MATCH(fTbl9[[#This Row],[Context]]&amp;"|"&amp;fTbl9[[#This Row],[Field]],Ltbl[ind],0),IFERROR(MATCH("ALL|"&amp;fTbl9[[#This Row],[Field]],Ltbl[ind],0),-1)))</f>
        <v>0</v>
      </c>
      <c r="N35" t="str" cm="1">
        <f t="array" ref="N35">IF(fTbl9[[#This Row],[listlu]]&lt;1,"",IF(INDEX(Ltbl[Generic],fTbl9[[#This Row],[listlu]])="","",INDEX(Ltbl[Generic],fTbl9[[#This Row],[listlu]])))</f>
        <v/>
      </c>
      <c r="O35">
        <f>IF(AND(fTbl9[[#This Row],[listlu]],ISERROR(FIND(",",fTbl9[[#This Row],[liMatch]])),fTbl9[[#This Row],[liMatch]]&lt;&gt;""),1,0)</f>
        <v>0</v>
      </c>
      <c r="P35">
        <f>IF(AND(fTbl9[[#This Row],[LT]]="Ref",ISNA(MATCH(fTbl9[[#This Row],[Field]],rTbl[Ref],0))),1,0)</f>
        <v>0</v>
      </c>
      <c r="Q35"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35">
        <f ca="1">FIND("~",SUBSTITUTE(fTbl9[[#This Row],[Hierarchy]],"|","~",1))</f>
        <v>7</v>
      </c>
      <c r="S35" t="e">
        <f ca="1">FIND("~",SUBSTITUTE(fTbl9[[#This Row],[Hierarchy]],"|","~",2))</f>
        <v>#VALUE!</v>
      </c>
      <c r="T35" cm="1">
        <f t="array" ref="T35">IF(fTbl9[[#This Row],[listlu]]=0,0,IF(INDEX(Ltbl[Context],fTbl9[[#This Row],[listlu]],1)="ALL",1,2))</f>
        <v>0</v>
      </c>
      <c r="U35" s="29"/>
    </row>
    <row r="36" spans="1:21">
      <c r="A36" s="15" t="s">
        <v>28</v>
      </c>
      <c r="B36" t="s">
        <v>250</v>
      </c>
      <c r="C36" t="s">
        <v>231</v>
      </c>
      <c r="D36" s="1"/>
      <c r="E36" s="1">
        <v>0</v>
      </c>
      <c r="F36" s="1"/>
      <c r="G36" s="1"/>
      <c r="H36" s="1"/>
      <c r="I36" s="19"/>
      <c r="J36" s="27" t="s">
        <v>251</v>
      </c>
      <c r="K36" t="str">
        <f ca="1">IFERROR(IF(fTbl9[[#This Row],[LT]]="H",MID(fTbl9[[#This Row],[Hierarchy]],fTbl9[[#This Row],[pipe1]]+1,fTbl9[[#This Row],[pipe2]]-fTbl9[[#This Row],[pipe1]]-1),LEFT(fTbl9[[#This Row],[Hierarchy]],FIND("|",fTbl9[[#This Row],[Hierarchy]])-1)),"")</f>
        <v>GOResp</v>
      </c>
      <c r="L36" s="1">
        <f ca="1">IF(ROW()=3,0,OFFSET(fTbl9[[#This Row],[Lev]],-1,0)+IF(OFFSET(fTbl9[[#This Row],[LT]],-1,0)="H",1,IF(fTbl9[[#This Row],[LT]]="!H",-1,0)))</f>
        <v>1</v>
      </c>
      <c r="M36">
        <f>IF(RIGHT(fTbl9[[#This Row],[valid]],4)&lt;&gt;"list",0,IFERROR(MATCH(fTbl9[[#This Row],[Context]]&amp;"|"&amp;fTbl9[[#This Row],[Field]],Ltbl[ind],0),IFERROR(MATCH("ALL|"&amp;fTbl9[[#This Row],[Field]],Ltbl[ind],0),-1)))</f>
        <v>0</v>
      </c>
      <c r="N36" t="str" cm="1">
        <f t="array" ref="N36">IF(fTbl9[[#This Row],[listlu]]&lt;1,"",IF(INDEX(Ltbl[Generic],fTbl9[[#This Row],[listlu]])="","",INDEX(Ltbl[Generic],fTbl9[[#This Row],[listlu]])))</f>
        <v/>
      </c>
      <c r="O36">
        <f>IF(AND(fTbl9[[#This Row],[listlu]],ISERROR(FIND(",",fTbl9[[#This Row],[liMatch]])),fTbl9[[#This Row],[liMatch]]&lt;&gt;""),1,0)</f>
        <v>0</v>
      </c>
      <c r="P36">
        <f>IF(AND(fTbl9[[#This Row],[LT]]="Ref",ISNA(MATCH(fTbl9[[#This Row],[Field]],rTbl[Ref],0))),1,0)</f>
        <v>0</v>
      </c>
      <c r="Q36"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36">
        <f ca="1">FIND("~",SUBSTITUTE(fTbl9[[#This Row],[Hierarchy]],"|","~",1))</f>
        <v>7</v>
      </c>
      <c r="S36" t="e">
        <f ca="1">FIND("~",SUBSTITUTE(fTbl9[[#This Row],[Hierarchy]],"|","~",2))</f>
        <v>#VALUE!</v>
      </c>
      <c r="T36" cm="1">
        <f t="array" ref="T36">IF(fTbl9[[#This Row],[listlu]]=0,0,IF(INDEX(Ltbl[Context],fTbl9[[#This Row],[listlu]],1)="ALL",1,2))</f>
        <v>0</v>
      </c>
      <c r="U36" s="29"/>
    </row>
    <row r="37" spans="1:21">
      <c r="A37" s="15" t="s">
        <v>21</v>
      </c>
      <c r="B37" t="s">
        <v>236</v>
      </c>
      <c r="D37" s="1"/>
      <c r="E37" s="1">
        <v>0</v>
      </c>
      <c r="F37" s="1" t="s">
        <v>23</v>
      </c>
      <c r="G37" s="1"/>
      <c r="H37" s="1"/>
      <c r="I37" s="19" t="s">
        <v>252</v>
      </c>
      <c r="J37" s="28"/>
      <c r="K37" t="str">
        <f ca="1">IFERROR(IF(fTbl9[[#This Row],[LT]]="H",MID(fTbl9[[#This Row],[Hierarchy]],fTbl9[[#This Row],[pipe1]]+1,fTbl9[[#This Row],[pipe2]]-fTbl9[[#This Row],[pipe1]]-1),LEFT(fTbl9[[#This Row],[Hierarchy]],FIND("|",fTbl9[[#This Row],[Hierarchy]])-1)),"")</f>
        <v>GOResp</v>
      </c>
      <c r="L37" s="1">
        <f ca="1">IF(ROW()=3,0,OFFSET(fTbl9[[#This Row],[Lev]],-1,0)+IF(OFFSET(fTbl9[[#This Row],[LT]],-1,0)="H",1,IF(fTbl9[[#This Row],[LT]]="!H",-1,0)))</f>
        <v>1</v>
      </c>
      <c r="M37">
        <f>IF(RIGHT(fTbl9[[#This Row],[valid]],4)&lt;&gt;"list",0,IFERROR(MATCH(fTbl9[[#This Row],[Context]]&amp;"|"&amp;fTbl9[[#This Row],[Field]],Ltbl[ind],0),IFERROR(MATCH("ALL|"&amp;fTbl9[[#This Row],[Field]],Ltbl[ind],0),-1)))</f>
        <v>0</v>
      </c>
      <c r="N37" t="str" cm="1">
        <f t="array" ref="N37">IF(fTbl9[[#This Row],[listlu]]&lt;1,"",IF(INDEX(Ltbl[Generic],fTbl9[[#This Row],[listlu]])="","",INDEX(Ltbl[Generic],fTbl9[[#This Row],[listlu]])))</f>
        <v/>
      </c>
      <c r="O37">
        <f>IF(AND(fTbl9[[#This Row],[listlu]],ISERROR(FIND(",",fTbl9[[#This Row],[liMatch]])),fTbl9[[#This Row],[liMatch]]&lt;&gt;""),1,0)</f>
        <v>0</v>
      </c>
      <c r="P37">
        <f>IF(AND(fTbl9[[#This Row],[LT]]="Ref",ISNA(MATCH(fTbl9[[#This Row],[Field]],rTbl[Ref],0))),1,0)</f>
        <v>0</v>
      </c>
      <c r="Q37" t="str">
        <f ca="1">IF(ROW()=3,IF(fTbl9[[#This Row],[LT]]="H",fTbl9[[#This Row],[Field]]&amp;"|","|"),IF(fTbl9[[#This Row],[LT]]="H",fTbl9[[#This Row],[Field]]&amp;"|"&amp;OFFSET(fTbl9[[#This Row],[Hierarchy]],-1,0),IF(fTbl9[[#This Row],[LT]]&lt;&gt;"!H",OFFSET(fTbl9[[#This Row],[Hierarchy]],-1,0),RIGHT(OFFSET(fTbl9[[#This Row],[Hierarchy]],-1,0),LEN(OFFSET(fTbl9[[#This Row],[Hierarchy]],-1,0))-LEN(fTbl9[[#This Row],[Field]])-1))))</f>
        <v>Packages|GOResp|</v>
      </c>
      <c r="R37">
        <f ca="1">FIND("~",SUBSTITUTE(fTbl9[[#This Row],[Hierarchy]],"|","~",1))</f>
        <v>9</v>
      </c>
      <c r="S37">
        <f ca="1">FIND("~",SUBSTITUTE(fTbl9[[#This Row],[Hierarchy]],"|","~",2))</f>
        <v>16</v>
      </c>
      <c r="T37" cm="1">
        <f t="array" ref="T37">IF(fTbl9[[#This Row],[listlu]]=0,0,IF(INDEX(Ltbl[Context],fTbl9[[#This Row],[listlu]],1)="ALL",1,2))</f>
        <v>0</v>
      </c>
      <c r="U37" s="29"/>
    </row>
    <row r="38" spans="1:21">
      <c r="A38" s="15" t="s">
        <v>28</v>
      </c>
      <c r="B38" t="s">
        <v>253</v>
      </c>
      <c r="C38" t="s">
        <v>30</v>
      </c>
      <c r="D38" s="1">
        <v>20</v>
      </c>
      <c r="E38" s="1">
        <v>1</v>
      </c>
      <c r="F38" s="1"/>
      <c r="G38" s="1"/>
      <c r="H38" s="1"/>
      <c r="I38" s="19" t="s">
        <v>254</v>
      </c>
      <c r="J38" s="28" t="s">
        <v>255</v>
      </c>
      <c r="K38" t="str">
        <f ca="1">IFERROR(IF(fTbl9[[#This Row],[LT]]="H",MID(fTbl9[[#This Row],[Hierarchy]],fTbl9[[#This Row],[pipe1]]+1,fTbl9[[#This Row],[pipe2]]-fTbl9[[#This Row],[pipe1]]-1),LEFT(fTbl9[[#This Row],[Hierarchy]],FIND("|",fTbl9[[#This Row],[Hierarchy]])-1)),"")</f>
        <v>Packages</v>
      </c>
      <c r="L38" s="1">
        <f ca="1">IF(ROW()=3,0,OFFSET(fTbl9[[#This Row],[Lev]],-1,0)+IF(OFFSET(fTbl9[[#This Row],[LT]],-1,0)="H",1,IF(fTbl9[[#This Row],[LT]]="!H",-1,0)))</f>
        <v>2</v>
      </c>
      <c r="M38">
        <f>IF(RIGHT(fTbl9[[#This Row],[valid]],4)&lt;&gt;"list",0,IFERROR(MATCH(fTbl9[[#This Row],[Context]]&amp;"|"&amp;fTbl9[[#This Row],[Field]],Ltbl[ind],0),IFERROR(MATCH("ALL|"&amp;fTbl9[[#This Row],[Field]],Ltbl[ind],0),-1)))</f>
        <v>0</v>
      </c>
      <c r="N38" t="str" cm="1">
        <f t="array" ref="N38">IF(fTbl9[[#This Row],[listlu]]&lt;1,"",IF(INDEX(Ltbl[Generic],fTbl9[[#This Row],[listlu]])="","",INDEX(Ltbl[Generic],fTbl9[[#This Row],[listlu]])))</f>
        <v/>
      </c>
      <c r="O38">
        <f>IF(AND(fTbl9[[#This Row],[listlu]],ISERROR(FIND(",",fTbl9[[#This Row],[liMatch]])),fTbl9[[#This Row],[liMatch]]&lt;&gt;""),1,0)</f>
        <v>0</v>
      </c>
      <c r="P38">
        <f>IF(AND(fTbl9[[#This Row],[LT]]="Ref",ISNA(MATCH(fTbl9[[#This Row],[Field]],rTbl[Ref],0))),1,0)</f>
        <v>0</v>
      </c>
      <c r="Q38" t="str">
        <f ca="1">IF(ROW()=3,IF(fTbl9[[#This Row],[LT]]="H",fTbl9[[#This Row],[Field]]&amp;"|","|"),IF(fTbl9[[#This Row],[LT]]="H",fTbl9[[#This Row],[Field]]&amp;"|"&amp;OFFSET(fTbl9[[#This Row],[Hierarchy]],-1,0),IF(fTbl9[[#This Row],[LT]]&lt;&gt;"!H",OFFSET(fTbl9[[#This Row],[Hierarchy]],-1,0),RIGHT(OFFSET(fTbl9[[#This Row],[Hierarchy]],-1,0),LEN(OFFSET(fTbl9[[#This Row],[Hierarchy]],-1,0))-LEN(fTbl9[[#This Row],[Field]])-1))))</f>
        <v>Packages|GOResp|</v>
      </c>
      <c r="R38">
        <f ca="1">FIND("~",SUBSTITUTE(fTbl9[[#This Row],[Hierarchy]],"|","~",1))</f>
        <v>9</v>
      </c>
      <c r="S38">
        <f ca="1">FIND("~",SUBSTITUTE(fTbl9[[#This Row],[Hierarchy]],"|","~",2))</f>
        <v>16</v>
      </c>
      <c r="T38" cm="1">
        <f t="array" ref="T38">IF(fTbl9[[#This Row],[listlu]]=0,0,IF(INDEX(Ltbl[Context],fTbl9[[#This Row],[listlu]],1)="ALL",1,2))</f>
        <v>0</v>
      </c>
      <c r="U38" s="29"/>
    </row>
    <row r="39" spans="1:21">
      <c r="A39" s="15" t="s">
        <v>28</v>
      </c>
      <c r="B39" t="s">
        <v>256</v>
      </c>
      <c r="C39" t="s">
        <v>133</v>
      </c>
      <c r="D39" s="1"/>
      <c r="E39" s="1">
        <v>1</v>
      </c>
      <c r="F39" s="1"/>
      <c r="G39" s="1"/>
      <c r="H39" s="1"/>
      <c r="I39" s="19" t="s">
        <v>257</v>
      </c>
      <c r="J39" s="28" t="s">
        <v>258</v>
      </c>
      <c r="K39" t="str">
        <f ca="1">IFERROR(IF(fTbl9[[#This Row],[LT]]="H",MID(fTbl9[[#This Row],[Hierarchy]],fTbl9[[#This Row],[pipe1]]+1,fTbl9[[#This Row],[pipe2]]-fTbl9[[#This Row],[pipe1]]-1),LEFT(fTbl9[[#This Row],[Hierarchy]],FIND("|",fTbl9[[#This Row],[Hierarchy]])-1)),"")</f>
        <v>Packages</v>
      </c>
      <c r="L39" s="1">
        <f ca="1">IF(ROW()=3,0,OFFSET(fTbl9[[#This Row],[Lev]],-1,0)+IF(OFFSET(fTbl9[[#This Row],[LT]],-1,0)="H",1,IF(fTbl9[[#This Row],[LT]]="!H",-1,0)))</f>
        <v>2</v>
      </c>
      <c r="M39">
        <f>IF(RIGHT(fTbl9[[#This Row],[valid]],4)&lt;&gt;"list",0,IFERROR(MATCH(fTbl9[[#This Row],[Context]]&amp;"|"&amp;fTbl9[[#This Row],[Field]],Ltbl[ind],0),IFERROR(MATCH("ALL|"&amp;fTbl9[[#This Row],[Field]],Ltbl[ind],0),-1)))</f>
        <v>0</v>
      </c>
      <c r="N39" t="str" cm="1">
        <f t="array" ref="N39">IF(fTbl9[[#This Row],[listlu]]&lt;1,"",IF(INDEX(Ltbl[Generic],fTbl9[[#This Row],[listlu]])="","",INDEX(Ltbl[Generic],fTbl9[[#This Row],[listlu]])))</f>
        <v/>
      </c>
      <c r="O39">
        <f>IF(AND(fTbl9[[#This Row],[listlu]],ISERROR(FIND(",",fTbl9[[#This Row],[liMatch]])),fTbl9[[#This Row],[liMatch]]&lt;&gt;""),1,0)</f>
        <v>0</v>
      </c>
      <c r="P39">
        <f>IF(AND(fTbl9[[#This Row],[LT]]="Ref",ISNA(MATCH(fTbl9[[#This Row],[Field]],rTbl[Ref],0))),1,0)</f>
        <v>0</v>
      </c>
      <c r="Q39" t="str">
        <f ca="1">IF(ROW()=3,IF(fTbl9[[#This Row],[LT]]="H",fTbl9[[#This Row],[Field]]&amp;"|","|"),IF(fTbl9[[#This Row],[LT]]="H",fTbl9[[#This Row],[Field]]&amp;"|"&amp;OFFSET(fTbl9[[#This Row],[Hierarchy]],-1,0),IF(fTbl9[[#This Row],[LT]]&lt;&gt;"!H",OFFSET(fTbl9[[#This Row],[Hierarchy]],-1,0),RIGHT(OFFSET(fTbl9[[#This Row],[Hierarchy]],-1,0),LEN(OFFSET(fTbl9[[#This Row],[Hierarchy]],-1,0))-LEN(fTbl9[[#This Row],[Field]])-1))))</f>
        <v>Packages|GOResp|</v>
      </c>
      <c r="R39">
        <f ca="1">FIND("~",SUBSTITUTE(fTbl9[[#This Row],[Hierarchy]],"|","~",1))</f>
        <v>9</v>
      </c>
      <c r="S39">
        <f ca="1">FIND("~",SUBSTITUTE(fTbl9[[#This Row],[Hierarchy]],"|","~",2))</f>
        <v>16</v>
      </c>
      <c r="T39" cm="1">
        <f t="array" ref="T39">IF(fTbl9[[#This Row],[listlu]]=0,0,IF(INDEX(Ltbl[Context],fTbl9[[#This Row],[listlu]],1)="ALL",1,2))</f>
        <v>0</v>
      </c>
      <c r="U39" s="29"/>
    </row>
    <row r="40" spans="1:21">
      <c r="A40" s="15" t="s">
        <v>28</v>
      </c>
      <c r="B40" t="s">
        <v>259</v>
      </c>
      <c r="C40" t="s">
        <v>133</v>
      </c>
      <c r="D40" s="1"/>
      <c r="E40" s="1">
        <v>1</v>
      </c>
      <c r="F40" s="1"/>
      <c r="G40" s="1"/>
      <c r="H40" s="1"/>
      <c r="I40" s="19" t="s">
        <v>260</v>
      </c>
      <c r="J40" s="28" t="s">
        <v>261</v>
      </c>
      <c r="K40" t="str">
        <f ca="1">IFERROR(IF(fTbl9[[#This Row],[LT]]="H",MID(fTbl9[[#This Row],[Hierarchy]],fTbl9[[#This Row],[pipe1]]+1,fTbl9[[#This Row],[pipe2]]-fTbl9[[#This Row],[pipe1]]-1),LEFT(fTbl9[[#This Row],[Hierarchy]],FIND("|",fTbl9[[#This Row],[Hierarchy]])-1)),"")</f>
        <v>Packages</v>
      </c>
      <c r="L40" s="1">
        <f ca="1">IF(ROW()=3,0,OFFSET(fTbl9[[#This Row],[Lev]],-1,0)+IF(OFFSET(fTbl9[[#This Row],[LT]],-1,0)="H",1,IF(fTbl9[[#This Row],[LT]]="!H",-1,0)))</f>
        <v>2</v>
      </c>
      <c r="M40">
        <f>IF(RIGHT(fTbl9[[#This Row],[valid]],4)&lt;&gt;"list",0,IFERROR(MATCH(fTbl9[[#This Row],[Context]]&amp;"|"&amp;fTbl9[[#This Row],[Field]],Ltbl[ind],0),IFERROR(MATCH("ALL|"&amp;fTbl9[[#This Row],[Field]],Ltbl[ind],0),-1)))</f>
        <v>0</v>
      </c>
      <c r="N40" t="str" cm="1">
        <f t="array" ref="N40">IF(fTbl9[[#This Row],[listlu]]&lt;1,"",IF(INDEX(Ltbl[Generic],fTbl9[[#This Row],[listlu]])="","",INDEX(Ltbl[Generic],fTbl9[[#This Row],[listlu]])))</f>
        <v/>
      </c>
      <c r="O40">
        <f>IF(AND(fTbl9[[#This Row],[listlu]],ISERROR(FIND(",",fTbl9[[#This Row],[liMatch]])),fTbl9[[#This Row],[liMatch]]&lt;&gt;""),1,0)</f>
        <v>0</v>
      </c>
      <c r="P40">
        <f>IF(AND(fTbl9[[#This Row],[LT]]="Ref",ISNA(MATCH(fTbl9[[#This Row],[Field]],rTbl[Ref],0))),1,0)</f>
        <v>0</v>
      </c>
      <c r="Q40" t="str">
        <f ca="1">IF(ROW()=3,IF(fTbl9[[#This Row],[LT]]="H",fTbl9[[#This Row],[Field]]&amp;"|","|"),IF(fTbl9[[#This Row],[LT]]="H",fTbl9[[#This Row],[Field]]&amp;"|"&amp;OFFSET(fTbl9[[#This Row],[Hierarchy]],-1,0),IF(fTbl9[[#This Row],[LT]]&lt;&gt;"!H",OFFSET(fTbl9[[#This Row],[Hierarchy]],-1,0),RIGHT(OFFSET(fTbl9[[#This Row],[Hierarchy]],-1,0),LEN(OFFSET(fTbl9[[#This Row],[Hierarchy]],-1,0))-LEN(fTbl9[[#This Row],[Field]])-1))))</f>
        <v>Packages|GOResp|</v>
      </c>
      <c r="R40">
        <f ca="1">FIND("~",SUBSTITUTE(fTbl9[[#This Row],[Hierarchy]],"|","~",1))</f>
        <v>9</v>
      </c>
      <c r="S40">
        <f ca="1">FIND("~",SUBSTITUTE(fTbl9[[#This Row],[Hierarchy]],"|","~",2))</f>
        <v>16</v>
      </c>
      <c r="T40" cm="1">
        <f t="array" ref="T40">IF(fTbl9[[#This Row],[listlu]]=0,0,IF(INDEX(Ltbl[Context],fTbl9[[#This Row],[listlu]],1)="ALL",1,2))</f>
        <v>0</v>
      </c>
      <c r="U40" s="29"/>
    </row>
    <row r="41" spans="1:21">
      <c r="A41" s="15" t="s">
        <v>28</v>
      </c>
      <c r="B41" t="s">
        <v>262</v>
      </c>
      <c r="C41" t="s">
        <v>133</v>
      </c>
      <c r="D41" s="1"/>
      <c r="E41" s="1">
        <v>1</v>
      </c>
      <c r="F41" s="1"/>
      <c r="G41" s="1"/>
      <c r="H41" s="1"/>
      <c r="I41" s="19" t="s">
        <v>263</v>
      </c>
      <c r="J41" s="28" t="s">
        <v>264</v>
      </c>
      <c r="K41" t="str">
        <f ca="1">IFERROR(IF(fTbl9[[#This Row],[LT]]="H",MID(fTbl9[[#This Row],[Hierarchy]],fTbl9[[#This Row],[pipe1]]+1,fTbl9[[#This Row],[pipe2]]-fTbl9[[#This Row],[pipe1]]-1),LEFT(fTbl9[[#This Row],[Hierarchy]],FIND("|",fTbl9[[#This Row],[Hierarchy]])-1)),"")</f>
        <v>Packages</v>
      </c>
      <c r="L41" s="1">
        <f ca="1">IF(ROW()=3,0,OFFSET(fTbl9[[#This Row],[Lev]],-1,0)+IF(OFFSET(fTbl9[[#This Row],[LT]],-1,0)="H",1,IF(fTbl9[[#This Row],[LT]]="!H",-1,0)))</f>
        <v>2</v>
      </c>
      <c r="M41">
        <f>IF(RIGHT(fTbl9[[#This Row],[valid]],4)&lt;&gt;"list",0,IFERROR(MATCH(fTbl9[[#This Row],[Context]]&amp;"|"&amp;fTbl9[[#This Row],[Field]],Ltbl[ind],0),IFERROR(MATCH("ALL|"&amp;fTbl9[[#This Row],[Field]],Ltbl[ind],0),-1)))</f>
        <v>0</v>
      </c>
      <c r="N41" t="str" cm="1">
        <f t="array" ref="N41">IF(fTbl9[[#This Row],[listlu]]&lt;1,"",IF(INDEX(Ltbl[Generic],fTbl9[[#This Row],[listlu]])="","",INDEX(Ltbl[Generic],fTbl9[[#This Row],[listlu]])))</f>
        <v/>
      </c>
      <c r="O41">
        <f>IF(AND(fTbl9[[#This Row],[listlu]],ISERROR(FIND(",",fTbl9[[#This Row],[liMatch]])),fTbl9[[#This Row],[liMatch]]&lt;&gt;""),1,0)</f>
        <v>0</v>
      </c>
      <c r="P41">
        <f>IF(AND(fTbl9[[#This Row],[LT]]="Ref",ISNA(MATCH(fTbl9[[#This Row],[Field]],rTbl[Ref],0))),1,0)</f>
        <v>0</v>
      </c>
      <c r="Q41" t="str">
        <f ca="1">IF(ROW()=3,IF(fTbl9[[#This Row],[LT]]="H",fTbl9[[#This Row],[Field]]&amp;"|","|"),IF(fTbl9[[#This Row],[LT]]="H",fTbl9[[#This Row],[Field]]&amp;"|"&amp;OFFSET(fTbl9[[#This Row],[Hierarchy]],-1,0),IF(fTbl9[[#This Row],[LT]]&lt;&gt;"!H",OFFSET(fTbl9[[#This Row],[Hierarchy]],-1,0),RIGHT(OFFSET(fTbl9[[#This Row],[Hierarchy]],-1,0),LEN(OFFSET(fTbl9[[#This Row],[Hierarchy]],-1,0))-LEN(fTbl9[[#This Row],[Field]])-1))))</f>
        <v>Packages|GOResp|</v>
      </c>
      <c r="R41">
        <f ca="1">FIND("~",SUBSTITUTE(fTbl9[[#This Row],[Hierarchy]],"|","~",1))</f>
        <v>9</v>
      </c>
      <c r="S41">
        <f ca="1">FIND("~",SUBSTITUTE(fTbl9[[#This Row],[Hierarchy]],"|","~",2))</f>
        <v>16</v>
      </c>
      <c r="T41" cm="1">
        <f t="array" ref="T41">IF(fTbl9[[#This Row],[listlu]]=0,0,IF(INDEX(Ltbl[Context],fTbl9[[#This Row],[listlu]],1)="ALL",1,2))</f>
        <v>0</v>
      </c>
      <c r="U41" s="29"/>
    </row>
    <row r="42" spans="1:21">
      <c r="A42" s="15" t="s">
        <v>28</v>
      </c>
      <c r="B42" t="s">
        <v>265</v>
      </c>
      <c r="C42" t="s">
        <v>133</v>
      </c>
      <c r="D42" s="1"/>
      <c r="E42" s="1">
        <v>1</v>
      </c>
      <c r="F42" s="1"/>
      <c r="G42" s="1"/>
      <c r="H42" s="1"/>
      <c r="I42" s="19" t="s">
        <v>266</v>
      </c>
      <c r="J42" s="28" t="s">
        <v>267</v>
      </c>
      <c r="K42" t="str">
        <f ca="1">IFERROR(IF(fTbl9[[#This Row],[LT]]="H",MID(fTbl9[[#This Row],[Hierarchy]],fTbl9[[#This Row],[pipe1]]+1,fTbl9[[#This Row],[pipe2]]-fTbl9[[#This Row],[pipe1]]-1),LEFT(fTbl9[[#This Row],[Hierarchy]],FIND("|",fTbl9[[#This Row],[Hierarchy]])-1)),"")</f>
        <v>Packages</v>
      </c>
      <c r="L42" s="1">
        <f ca="1">IF(ROW()=3,0,OFFSET(fTbl9[[#This Row],[Lev]],-1,0)+IF(OFFSET(fTbl9[[#This Row],[LT]],-1,0)="H",1,IF(fTbl9[[#This Row],[LT]]="!H",-1,0)))</f>
        <v>2</v>
      </c>
      <c r="M42">
        <f>IF(RIGHT(fTbl9[[#This Row],[valid]],4)&lt;&gt;"list",0,IFERROR(MATCH(fTbl9[[#This Row],[Context]]&amp;"|"&amp;fTbl9[[#This Row],[Field]],Ltbl[ind],0),IFERROR(MATCH("ALL|"&amp;fTbl9[[#This Row],[Field]],Ltbl[ind],0),-1)))</f>
        <v>0</v>
      </c>
      <c r="N42" t="str" cm="1">
        <f t="array" ref="N42">IF(fTbl9[[#This Row],[listlu]]&lt;1,"",IF(INDEX(Ltbl[Generic],fTbl9[[#This Row],[listlu]])="","",INDEX(Ltbl[Generic],fTbl9[[#This Row],[listlu]])))</f>
        <v/>
      </c>
      <c r="O42">
        <f>IF(AND(fTbl9[[#This Row],[listlu]],ISERROR(FIND(",",fTbl9[[#This Row],[liMatch]])),fTbl9[[#This Row],[liMatch]]&lt;&gt;""),1,0)</f>
        <v>0</v>
      </c>
      <c r="P42">
        <f>IF(AND(fTbl9[[#This Row],[LT]]="Ref",ISNA(MATCH(fTbl9[[#This Row],[Field]],rTbl[Ref],0))),1,0)</f>
        <v>0</v>
      </c>
      <c r="Q42" t="str">
        <f ca="1">IF(ROW()=3,IF(fTbl9[[#This Row],[LT]]="H",fTbl9[[#This Row],[Field]]&amp;"|","|"),IF(fTbl9[[#This Row],[LT]]="H",fTbl9[[#This Row],[Field]]&amp;"|"&amp;OFFSET(fTbl9[[#This Row],[Hierarchy]],-1,0),IF(fTbl9[[#This Row],[LT]]&lt;&gt;"!H",OFFSET(fTbl9[[#This Row],[Hierarchy]],-1,0),RIGHT(OFFSET(fTbl9[[#This Row],[Hierarchy]],-1,0),LEN(OFFSET(fTbl9[[#This Row],[Hierarchy]],-1,0))-LEN(fTbl9[[#This Row],[Field]])-1))))</f>
        <v>Packages|GOResp|</v>
      </c>
      <c r="R42">
        <f ca="1">FIND("~",SUBSTITUTE(fTbl9[[#This Row],[Hierarchy]],"|","~",1))</f>
        <v>9</v>
      </c>
      <c r="S42">
        <f ca="1">FIND("~",SUBSTITUTE(fTbl9[[#This Row],[Hierarchy]],"|","~",2))</f>
        <v>16</v>
      </c>
      <c r="T42" cm="1">
        <f t="array" ref="T42">IF(fTbl9[[#This Row],[listlu]]=0,0,IF(INDEX(Ltbl[Context],fTbl9[[#This Row],[listlu]],1)="ALL",1,2))</f>
        <v>0</v>
      </c>
      <c r="U42" s="29"/>
    </row>
    <row r="43" spans="1:21">
      <c r="A43" s="15" t="s">
        <v>28</v>
      </c>
      <c r="B43" t="s">
        <v>268</v>
      </c>
      <c r="C43" t="s">
        <v>30</v>
      </c>
      <c r="D43" s="1">
        <v>5</v>
      </c>
      <c r="E43" s="1">
        <v>0</v>
      </c>
      <c r="F43" s="1"/>
      <c r="G43" s="1"/>
      <c r="H43" s="1"/>
      <c r="I43" s="19" t="s">
        <v>269</v>
      </c>
      <c r="J43" s="28" t="s">
        <v>270</v>
      </c>
      <c r="K43" t="str">
        <f ca="1">IFERROR(IF(fTbl9[[#This Row],[LT]]="H",MID(fTbl9[[#This Row],[Hierarchy]],fTbl9[[#This Row],[pipe1]]+1,fTbl9[[#This Row],[pipe2]]-fTbl9[[#This Row],[pipe1]]-1),LEFT(fTbl9[[#This Row],[Hierarchy]],FIND("|",fTbl9[[#This Row],[Hierarchy]])-1)),"")</f>
        <v>Packages</v>
      </c>
      <c r="L43" s="1">
        <f ca="1">IF(ROW()=3,0,OFFSET(fTbl9[[#This Row],[Lev]],-1,0)+IF(OFFSET(fTbl9[[#This Row],[LT]],-1,0)="H",1,IF(fTbl9[[#This Row],[LT]]="!H",-1,0)))</f>
        <v>2</v>
      </c>
      <c r="M43">
        <f>IF(RIGHT(fTbl9[[#This Row],[valid]],4)&lt;&gt;"list",0,IFERROR(MATCH(fTbl9[[#This Row],[Context]]&amp;"|"&amp;fTbl9[[#This Row],[Field]],Ltbl[ind],0),IFERROR(MATCH("ALL|"&amp;fTbl9[[#This Row],[Field]],Ltbl[ind],0),-1)))</f>
        <v>0</v>
      </c>
      <c r="N43" t="str" cm="1">
        <f t="array" ref="N43">IF(fTbl9[[#This Row],[listlu]]&lt;1,"",IF(INDEX(Ltbl[Generic],fTbl9[[#This Row],[listlu]])="","",INDEX(Ltbl[Generic],fTbl9[[#This Row],[listlu]])))</f>
        <v/>
      </c>
      <c r="O43">
        <f>IF(AND(fTbl9[[#This Row],[listlu]],ISERROR(FIND(",",fTbl9[[#This Row],[liMatch]])),fTbl9[[#This Row],[liMatch]]&lt;&gt;""),1,0)</f>
        <v>0</v>
      </c>
      <c r="P43">
        <f>IF(AND(fTbl9[[#This Row],[LT]]="Ref",ISNA(MATCH(fTbl9[[#This Row],[Field]],rTbl[Ref],0))),1,0)</f>
        <v>0</v>
      </c>
      <c r="Q43" t="str">
        <f ca="1">IF(ROW()=3,IF(fTbl9[[#This Row],[LT]]="H",fTbl9[[#This Row],[Field]]&amp;"|","|"),IF(fTbl9[[#This Row],[LT]]="H",fTbl9[[#This Row],[Field]]&amp;"|"&amp;OFFSET(fTbl9[[#This Row],[Hierarchy]],-1,0),IF(fTbl9[[#This Row],[LT]]&lt;&gt;"!H",OFFSET(fTbl9[[#This Row],[Hierarchy]],-1,0),RIGHT(OFFSET(fTbl9[[#This Row],[Hierarchy]],-1,0),LEN(OFFSET(fTbl9[[#This Row],[Hierarchy]],-1,0))-LEN(fTbl9[[#This Row],[Field]])-1))))</f>
        <v>Packages|GOResp|</v>
      </c>
      <c r="R43">
        <f ca="1">FIND("~",SUBSTITUTE(fTbl9[[#This Row],[Hierarchy]],"|","~",1))</f>
        <v>9</v>
      </c>
      <c r="S43">
        <f ca="1">FIND("~",SUBSTITUTE(fTbl9[[#This Row],[Hierarchy]],"|","~",2))</f>
        <v>16</v>
      </c>
      <c r="T43" cm="1">
        <f t="array" ref="T43">IF(fTbl9[[#This Row],[listlu]]=0,0,IF(INDEX(Ltbl[Context],fTbl9[[#This Row],[listlu]],1)="ALL",1,2))</f>
        <v>0</v>
      </c>
      <c r="U43" s="29"/>
    </row>
    <row r="44" spans="1:21">
      <c r="A44" s="15" t="s">
        <v>28</v>
      </c>
      <c r="B44" t="s">
        <v>163</v>
      </c>
      <c r="C44" t="s">
        <v>271</v>
      </c>
      <c r="D44" s="1"/>
      <c r="E44" s="1">
        <v>0</v>
      </c>
      <c r="F44" s="1"/>
      <c r="G44" s="1"/>
      <c r="H44" s="1"/>
      <c r="I44" s="19" t="s">
        <v>272</v>
      </c>
      <c r="J44" s="28" t="s">
        <v>273</v>
      </c>
      <c r="K44" t="str">
        <f ca="1">IFERROR(IF(fTbl9[[#This Row],[LT]]="H",MID(fTbl9[[#This Row],[Hierarchy]],fTbl9[[#This Row],[pipe1]]+1,fTbl9[[#This Row],[pipe2]]-fTbl9[[#This Row],[pipe1]]-1),LEFT(fTbl9[[#This Row],[Hierarchy]],FIND("|",fTbl9[[#This Row],[Hierarchy]])-1)),"")</f>
        <v>Packages</v>
      </c>
      <c r="L44" s="1">
        <f ca="1">IF(ROW()=3,0,OFFSET(fTbl9[[#This Row],[Lev]],-1,0)+IF(OFFSET(fTbl9[[#This Row],[LT]],-1,0)="H",1,IF(fTbl9[[#This Row],[LT]]="!H",-1,0)))</f>
        <v>2</v>
      </c>
      <c r="M44">
        <f>IF(RIGHT(fTbl9[[#This Row],[valid]],4)&lt;&gt;"list",0,IFERROR(MATCH(fTbl9[[#This Row],[Context]]&amp;"|"&amp;fTbl9[[#This Row],[Field]],Ltbl[ind],0),IFERROR(MATCH("ALL|"&amp;fTbl9[[#This Row],[Field]],Ltbl[ind],0),-1)))</f>
        <v>0</v>
      </c>
      <c r="N44" t="str" cm="1">
        <f t="array" ref="N44">IF(fTbl9[[#This Row],[listlu]]&lt;1,"",IF(INDEX(Ltbl[Generic],fTbl9[[#This Row],[listlu]])="","",INDEX(Ltbl[Generic],fTbl9[[#This Row],[listlu]])))</f>
        <v/>
      </c>
      <c r="O44">
        <f>IF(AND(fTbl9[[#This Row],[listlu]],ISERROR(FIND(",",fTbl9[[#This Row],[liMatch]])),fTbl9[[#This Row],[liMatch]]&lt;&gt;""),1,0)</f>
        <v>0</v>
      </c>
      <c r="P44">
        <f>IF(AND(fTbl9[[#This Row],[LT]]="Ref",ISNA(MATCH(fTbl9[[#This Row],[Field]],rTbl[Ref],0))),1,0)</f>
        <v>0</v>
      </c>
      <c r="Q44" t="str">
        <f ca="1">IF(ROW()=3,IF(fTbl9[[#This Row],[LT]]="H",fTbl9[[#This Row],[Field]]&amp;"|","|"),IF(fTbl9[[#This Row],[LT]]="H",fTbl9[[#This Row],[Field]]&amp;"|"&amp;OFFSET(fTbl9[[#This Row],[Hierarchy]],-1,0),IF(fTbl9[[#This Row],[LT]]&lt;&gt;"!H",OFFSET(fTbl9[[#This Row],[Hierarchy]],-1,0),RIGHT(OFFSET(fTbl9[[#This Row],[Hierarchy]],-1,0),LEN(OFFSET(fTbl9[[#This Row],[Hierarchy]],-1,0))-LEN(fTbl9[[#This Row],[Field]])-1))))</f>
        <v>Packages|GOResp|</v>
      </c>
      <c r="R44">
        <f ca="1">FIND("~",SUBSTITUTE(fTbl9[[#This Row],[Hierarchy]],"|","~",1))</f>
        <v>9</v>
      </c>
      <c r="S44">
        <f ca="1">FIND("~",SUBSTITUTE(fTbl9[[#This Row],[Hierarchy]],"|","~",2))</f>
        <v>16</v>
      </c>
      <c r="T44" cm="1">
        <f t="array" ref="T44">IF(fTbl9[[#This Row],[listlu]]=0,0,IF(INDEX(Ltbl[Context],fTbl9[[#This Row],[listlu]],1)="ALL",1,2))</f>
        <v>0</v>
      </c>
      <c r="U44" s="29"/>
    </row>
    <row r="45" spans="1:21">
      <c r="A45" s="15" t="s">
        <v>177</v>
      </c>
      <c r="B45" t="s">
        <v>236</v>
      </c>
      <c r="D45" s="1"/>
      <c r="E45" s="1"/>
      <c r="F45" s="1"/>
      <c r="G45" s="1"/>
      <c r="H45" s="1"/>
      <c r="I45" s="19"/>
      <c r="J45" s="28"/>
      <c r="K45" t="str">
        <f ca="1">IFERROR(IF(fTbl9[[#This Row],[LT]]="H",MID(fTbl9[[#This Row],[Hierarchy]],fTbl9[[#This Row],[pipe1]]+1,fTbl9[[#This Row],[pipe2]]-fTbl9[[#This Row],[pipe1]]-1),LEFT(fTbl9[[#This Row],[Hierarchy]],FIND("|",fTbl9[[#This Row],[Hierarchy]])-1)),"")</f>
        <v>GOResp</v>
      </c>
      <c r="L45" s="1">
        <f ca="1">IF(ROW()=3,0,OFFSET(fTbl9[[#This Row],[Lev]],-1,0)+IF(OFFSET(fTbl9[[#This Row],[LT]],-1,0)="H",1,IF(fTbl9[[#This Row],[LT]]="!H",-1,0)))</f>
        <v>1</v>
      </c>
      <c r="M45">
        <f>IF(RIGHT(fTbl9[[#This Row],[valid]],4)&lt;&gt;"list",0,IFERROR(MATCH(fTbl9[[#This Row],[Context]]&amp;"|"&amp;fTbl9[[#This Row],[Field]],Ltbl[ind],0),IFERROR(MATCH("ALL|"&amp;fTbl9[[#This Row],[Field]],Ltbl[ind],0),-1)))</f>
        <v>0</v>
      </c>
      <c r="N45" t="str" cm="1">
        <f t="array" ref="N45">IF(fTbl9[[#This Row],[listlu]]&lt;1,"",IF(INDEX(Ltbl[Generic],fTbl9[[#This Row],[listlu]])="","",INDEX(Ltbl[Generic],fTbl9[[#This Row],[listlu]])))</f>
        <v/>
      </c>
      <c r="O45">
        <f>IF(AND(fTbl9[[#This Row],[listlu]],ISERROR(FIND(",",fTbl9[[#This Row],[liMatch]])),fTbl9[[#This Row],[liMatch]]&lt;&gt;""),1,0)</f>
        <v>0</v>
      </c>
      <c r="P45">
        <f>IF(AND(fTbl9[[#This Row],[LT]]="Ref",ISNA(MATCH(fTbl9[[#This Row],[Field]],rTbl[Ref],0))),1,0)</f>
        <v>0</v>
      </c>
      <c r="Q45"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45">
        <f ca="1">FIND("~",SUBSTITUTE(fTbl9[[#This Row],[Hierarchy]],"|","~",1))</f>
        <v>7</v>
      </c>
      <c r="S45" t="e">
        <f ca="1">FIND("~",SUBSTITUTE(fTbl9[[#This Row],[Hierarchy]],"|","~",2))</f>
        <v>#VALUE!</v>
      </c>
      <c r="T45" cm="1">
        <f t="array" ref="T45">IF(fTbl9[[#This Row],[listlu]]=0,0,IF(INDEX(Ltbl[Context],fTbl9[[#This Row],[listlu]],1)="ALL",1,2))</f>
        <v>0</v>
      </c>
      <c r="U45" s="29"/>
    </row>
    <row r="46" spans="1:21">
      <c r="A46" s="15" t="s">
        <v>21</v>
      </c>
      <c r="B46" t="s">
        <v>274</v>
      </c>
      <c r="D46" s="1"/>
      <c r="E46" s="1">
        <v>0</v>
      </c>
      <c r="F46" s="1" t="s">
        <v>23</v>
      </c>
      <c r="G46" s="1"/>
      <c r="H46" s="1"/>
      <c r="I46" s="19" t="s">
        <v>275</v>
      </c>
      <c r="J46" s="28"/>
      <c r="K46" t="str">
        <f ca="1">IFERROR(IF(fTbl9[[#This Row],[LT]]="H",MID(fTbl9[[#This Row],[Hierarchy]],fTbl9[[#This Row],[pipe1]]+1,fTbl9[[#This Row],[pipe2]]-fTbl9[[#This Row],[pipe1]]-1),LEFT(fTbl9[[#This Row],[Hierarchy]],FIND("|",fTbl9[[#This Row],[Hierarchy]])-1)),"")</f>
        <v>GOResp</v>
      </c>
      <c r="L46" s="1">
        <f ca="1">IF(ROW()=3,0,OFFSET(fTbl9[[#This Row],[Lev]],-1,0)+IF(OFFSET(fTbl9[[#This Row],[LT]],-1,0)="H",1,IF(fTbl9[[#This Row],[LT]]="!H",-1,0)))</f>
        <v>1</v>
      </c>
      <c r="M46">
        <f>IF(RIGHT(fTbl9[[#This Row],[valid]],4)&lt;&gt;"list",0,IFERROR(MATCH(fTbl9[[#This Row],[Context]]&amp;"|"&amp;fTbl9[[#This Row],[Field]],Ltbl[ind],0),IFERROR(MATCH("ALL|"&amp;fTbl9[[#This Row],[Field]],Ltbl[ind],0),-1)))</f>
        <v>0</v>
      </c>
      <c r="N46" t="str" cm="1">
        <f t="array" ref="N46">IF(fTbl9[[#This Row],[listlu]]&lt;1,"",IF(INDEX(Ltbl[Generic],fTbl9[[#This Row],[listlu]])="","",INDEX(Ltbl[Generic],fTbl9[[#This Row],[listlu]])))</f>
        <v/>
      </c>
      <c r="O46">
        <f>IF(AND(fTbl9[[#This Row],[listlu]],ISERROR(FIND(",",fTbl9[[#This Row],[liMatch]])),fTbl9[[#This Row],[liMatch]]&lt;&gt;""),1,0)</f>
        <v>0</v>
      </c>
      <c r="P46">
        <f>IF(AND(fTbl9[[#This Row],[LT]]="Ref",ISNA(MATCH(fTbl9[[#This Row],[Field]],rTbl[Ref],0))),1,0)</f>
        <v>0</v>
      </c>
      <c r="Q46" t="str">
        <f ca="1">IF(ROW()=3,IF(fTbl9[[#This Row],[LT]]="H",fTbl9[[#This Row],[Field]]&amp;"|","|"),IF(fTbl9[[#This Row],[LT]]="H",fTbl9[[#This Row],[Field]]&amp;"|"&amp;OFFSET(fTbl9[[#This Row],[Hierarchy]],-1,0),IF(fTbl9[[#This Row],[LT]]&lt;&gt;"!H",OFFSET(fTbl9[[#This Row],[Hierarchy]],-1,0),RIGHT(OFFSET(fTbl9[[#This Row],[Hierarchy]],-1,0),LEN(OFFSET(fTbl9[[#This Row],[Hierarchy]],-1,0))-LEN(fTbl9[[#This Row],[Field]])-1))))</f>
        <v>GORespLines|GOResp|</v>
      </c>
      <c r="R46">
        <f ca="1">FIND("~",SUBSTITUTE(fTbl9[[#This Row],[Hierarchy]],"|","~",1))</f>
        <v>12</v>
      </c>
      <c r="S46">
        <f ca="1">FIND("~",SUBSTITUTE(fTbl9[[#This Row],[Hierarchy]],"|","~",2))</f>
        <v>19</v>
      </c>
      <c r="T46" cm="1">
        <f t="array" ref="T46">IF(fTbl9[[#This Row],[listlu]]=0,0,IF(INDEX(Ltbl[Context],fTbl9[[#This Row],[listlu]],1)="ALL",1,2))</f>
        <v>0</v>
      </c>
      <c r="U46" s="29"/>
    </row>
    <row r="47" spans="1:21">
      <c r="A47" s="15" t="s">
        <v>28</v>
      </c>
      <c r="B47" t="s">
        <v>146</v>
      </c>
      <c r="C47" t="s">
        <v>84</v>
      </c>
      <c r="D47" s="1"/>
      <c r="E47" s="1">
        <v>1</v>
      </c>
      <c r="F47" s="1"/>
      <c r="G47" s="1"/>
      <c r="H47" s="1"/>
      <c r="I47" s="19" t="s">
        <v>276</v>
      </c>
      <c r="J47" s="28" t="s">
        <v>277</v>
      </c>
      <c r="K47" t="str">
        <f ca="1">IFERROR(IF(fTbl9[[#This Row],[LT]]="H",MID(fTbl9[[#This Row],[Hierarchy]],fTbl9[[#This Row],[pipe1]]+1,fTbl9[[#This Row],[pipe2]]-fTbl9[[#This Row],[pipe1]]-1),LEFT(fTbl9[[#This Row],[Hierarchy]],FIND("|",fTbl9[[#This Row],[Hierarchy]])-1)),"")</f>
        <v>GORespLines</v>
      </c>
      <c r="L47" s="1">
        <f ca="1">IF(ROW()=3,0,OFFSET(fTbl9[[#This Row],[Lev]],-1,0)+IF(OFFSET(fTbl9[[#This Row],[LT]],-1,0)="H",1,IF(fTbl9[[#This Row],[LT]]="!H",-1,0)))</f>
        <v>2</v>
      </c>
      <c r="M47">
        <f>IF(RIGHT(fTbl9[[#This Row],[valid]],4)&lt;&gt;"list",0,IFERROR(MATCH(fTbl9[[#This Row],[Context]]&amp;"|"&amp;fTbl9[[#This Row],[Field]],Ltbl[ind],0),IFERROR(MATCH("ALL|"&amp;fTbl9[[#This Row],[Field]],Ltbl[ind],0),-1)))</f>
        <v>0</v>
      </c>
      <c r="N47" t="str" cm="1">
        <f t="array" ref="N47">IF(fTbl9[[#This Row],[listlu]]&lt;1,"",IF(INDEX(Ltbl[Generic],fTbl9[[#This Row],[listlu]])="","",INDEX(Ltbl[Generic],fTbl9[[#This Row],[listlu]])))</f>
        <v/>
      </c>
      <c r="O47">
        <f>IF(AND(fTbl9[[#This Row],[listlu]],ISERROR(FIND(",",fTbl9[[#This Row],[liMatch]])),fTbl9[[#This Row],[liMatch]]&lt;&gt;""),1,0)</f>
        <v>0</v>
      </c>
      <c r="P47">
        <f>IF(AND(fTbl9[[#This Row],[LT]]="Ref",ISNA(MATCH(fTbl9[[#This Row],[Field]],rTbl[Ref],0))),1,0)</f>
        <v>0</v>
      </c>
      <c r="Q47" t="str">
        <f ca="1">IF(ROW()=3,IF(fTbl9[[#This Row],[LT]]="H",fTbl9[[#This Row],[Field]]&amp;"|","|"),IF(fTbl9[[#This Row],[LT]]="H",fTbl9[[#This Row],[Field]]&amp;"|"&amp;OFFSET(fTbl9[[#This Row],[Hierarchy]],-1,0),IF(fTbl9[[#This Row],[LT]]&lt;&gt;"!H",OFFSET(fTbl9[[#This Row],[Hierarchy]],-1,0),RIGHT(OFFSET(fTbl9[[#This Row],[Hierarchy]],-1,0),LEN(OFFSET(fTbl9[[#This Row],[Hierarchy]],-1,0))-LEN(fTbl9[[#This Row],[Field]])-1))))</f>
        <v>GORespLines|GOResp|</v>
      </c>
      <c r="R47">
        <f ca="1">FIND("~",SUBSTITUTE(fTbl9[[#This Row],[Hierarchy]],"|","~",1))</f>
        <v>12</v>
      </c>
      <c r="S47">
        <f ca="1">FIND("~",SUBSTITUTE(fTbl9[[#This Row],[Hierarchy]],"|","~",2))</f>
        <v>19</v>
      </c>
      <c r="T47" cm="1">
        <f t="array" ref="T47">IF(fTbl9[[#This Row],[listlu]]=0,0,IF(INDEX(Ltbl[Context],fTbl9[[#This Row],[listlu]],1)="ALL",1,2))</f>
        <v>0</v>
      </c>
      <c r="U47" s="29"/>
    </row>
    <row r="48" spans="1:21">
      <c r="A48" s="15" t="s">
        <v>28</v>
      </c>
      <c r="B48" t="s">
        <v>150</v>
      </c>
      <c r="C48" t="s">
        <v>84</v>
      </c>
      <c r="D48" s="1">
        <v>15</v>
      </c>
      <c r="E48" s="1">
        <v>0</v>
      </c>
      <c r="F48" s="1"/>
      <c r="G48" s="1"/>
      <c r="H48" s="1"/>
      <c r="I48" s="19" t="s">
        <v>278</v>
      </c>
      <c r="J48" s="28" t="s">
        <v>279</v>
      </c>
      <c r="K48" t="str">
        <f ca="1">IFERROR(IF(fTbl9[[#This Row],[LT]]="H",MID(fTbl9[[#This Row],[Hierarchy]],fTbl9[[#This Row],[pipe1]]+1,fTbl9[[#This Row],[pipe2]]-fTbl9[[#This Row],[pipe1]]-1),LEFT(fTbl9[[#This Row],[Hierarchy]],FIND("|",fTbl9[[#This Row],[Hierarchy]])-1)),"")</f>
        <v>GORespLines</v>
      </c>
      <c r="L48" s="1">
        <f ca="1">IF(ROW()=3,0,OFFSET(fTbl9[[#This Row],[Lev]],-1,0)+IF(OFFSET(fTbl9[[#This Row],[LT]],-1,0)="H",1,IF(fTbl9[[#This Row],[LT]]="!H",-1,0)))</f>
        <v>2</v>
      </c>
      <c r="M48">
        <f>IF(RIGHT(fTbl9[[#This Row],[valid]],4)&lt;&gt;"list",0,IFERROR(MATCH(fTbl9[[#This Row],[Context]]&amp;"|"&amp;fTbl9[[#This Row],[Field]],Ltbl[ind],0),IFERROR(MATCH("ALL|"&amp;fTbl9[[#This Row],[Field]],Ltbl[ind],0),-1)))</f>
        <v>0</v>
      </c>
      <c r="N48" t="str" cm="1">
        <f t="array" ref="N48">IF(fTbl9[[#This Row],[listlu]]&lt;1,"",IF(INDEX(Ltbl[Generic],fTbl9[[#This Row],[listlu]])="","",INDEX(Ltbl[Generic],fTbl9[[#This Row],[listlu]])))</f>
        <v/>
      </c>
      <c r="O48">
        <f>IF(AND(fTbl9[[#This Row],[listlu]],ISERROR(FIND(",",fTbl9[[#This Row],[liMatch]])),fTbl9[[#This Row],[liMatch]]&lt;&gt;""),1,0)</f>
        <v>0</v>
      </c>
      <c r="P48">
        <f>IF(AND(fTbl9[[#This Row],[LT]]="Ref",ISNA(MATCH(fTbl9[[#This Row],[Field]],rTbl[Ref],0))),1,0)</f>
        <v>0</v>
      </c>
      <c r="Q48" t="str">
        <f ca="1">IF(ROW()=3,IF(fTbl9[[#This Row],[LT]]="H",fTbl9[[#This Row],[Field]]&amp;"|","|"),IF(fTbl9[[#This Row],[LT]]="H",fTbl9[[#This Row],[Field]]&amp;"|"&amp;OFFSET(fTbl9[[#This Row],[Hierarchy]],-1,0),IF(fTbl9[[#This Row],[LT]]&lt;&gt;"!H",OFFSET(fTbl9[[#This Row],[Hierarchy]],-1,0),RIGHT(OFFSET(fTbl9[[#This Row],[Hierarchy]],-1,0),LEN(OFFSET(fTbl9[[#This Row],[Hierarchy]],-1,0))-LEN(fTbl9[[#This Row],[Field]])-1))))</f>
        <v>GORespLines|GOResp|</v>
      </c>
      <c r="R48">
        <f ca="1">FIND("~",SUBSTITUTE(fTbl9[[#This Row],[Hierarchy]],"|","~",1))</f>
        <v>12</v>
      </c>
      <c r="S48">
        <f ca="1">FIND("~",SUBSTITUTE(fTbl9[[#This Row],[Hierarchy]],"|","~",2))</f>
        <v>19</v>
      </c>
      <c r="T48" cm="1">
        <f t="array" ref="T48">IF(fTbl9[[#This Row],[listlu]]=0,0,IF(INDEX(Ltbl[Context],fTbl9[[#This Row],[listlu]],1)="ALL",1,2))</f>
        <v>0</v>
      </c>
      <c r="U48" s="29"/>
    </row>
    <row r="49" spans="1:21">
      <c r="A49" s="15" t="s">
        <v>28</v>
      </c>
      <c r="B49" t="s">
        <v>280</v>
      </c>
      <c r="C49" t="s">
        <v>30</v>
      </c>
      <c r="D49" s="1"/>
      <c r="E49" s="1">
        <v>1</v>
      </c>
      <c r="F49" s="1"/>
      <c r="G49" s="1"/>
      <c r="H49" s="1"/>
      <c r="I49" s="19" t="s">
        <v>153</v>
      </c>
      <c r="J49" s="28" t="s">
        <v>281</v>
      </c>
      <c r="K49" t="str">
        <f ca="1">IFERROR(IF(fTbl9[[#This Row],[LT]]="H",MID(fTbl9[[#This Row],[Hierarchy]],fTbl9[[#This Row],[pipe1]]+1,fTbl9[[#This Row],[pipe2]]-fTbl9[[#This Row],[pipe1]]-1),LEFT(fTbl9[[#This Row],[Hierarchy]],FIND("|",fTbl9[[#This Row],[Hierarchy]])-1)),"")</f>
        <v>GORespLines</v>
      </c>
      <c r="L49" s="1">
        <f ca="1">IF(ROW()=3,0,OFFSET(fTbl9[[#This Row],[Lev]],-1,0)+IF(OFFSET(fTbl9[[#This Row],[LT]],-1,0)="H",1,IF(fTbl9[[#This Row],[LT]]="!H",-1,0)))</f>
        <v>2</v>
      </c>
      <c r="M49">
        <f>IF(RIGHT(fTbl9[[#This Row],[valid]],4)&lt;&gt;"list",0,IFERROR(MATCH(fTbl9[[#This Row],[Context]]&amp;"|"&amp;fTbl9[[#This Row],[Field]],Ltbl[ind],0),IFERROR(MATCH("ALL|"&amp;fTbl9[[#This Row],[Field]],Ltbl[ind],0),-1)))</f>
        <v>0</v>
      </c>
      <c r="N49" t="str" cm="1">
        <f t="array" ref="N49">IF(fTbl9[[#This Row],[listlu]]&lt;1,"",IF(INDEX(Ltbl[Generic],fTbl9[[#This Row],[listlu]])="","",INDEX(Ltbl[Generic],fTbl9[[#This Row],[listlu]])))</f>
        <v/>
      </c>
      <c r="O49">
        <f>IF(AND(fTbl9[[#This Row],[listlu]],ISERROR(FIND(",",fTbl9[[#This Row],[liMatch]])),fTbl9[[#This Row],[liMatch]]&lt;&gt;""),1,0)</f>
        <v>0</v>
      </c>
      <c r="P49">
        <f>IF(AND(fTbl9[[#This Row],[LT]]="Ref",ISNA(MATCH(fTbl9[[#This Row],[Field]],rTbl[Ref],0))),1,0)</f>
        <v>0</v>
      </c>
      <c r="Q49" t="str">
        <f ca="1">IF(ROW()=3,IF(fTbl9[[#This Row],[LT]]="H",fTbl9[[#This Row],[Field]]&amp;"|","|"),IF(fTbl9[[#This Row],[LT]]="H",fTbl9[[#This Row],[Field]]&amp;"|"&amp;OFFSET(fTbl9[[#This Row],[Hierarchy]],-1,0),IF(fTbl9[[#This Row],[LT]]&lt;&gt;"!H",OFFSET(fTbl9[[#This Row],[Hierarchy]],-1,0),RIGHT(OFFSET(fTbl9[[#This Row],[Hierarchy]],-1,0),LEN(OFFSET(fTbl9[[#This Row],[Hierarchy]],-1,0))-LEN(fTbl9[[#This Row],[Field]])-1))))</f>
        <v>GORespLines|GOResp|</v>
      </c>
      <c r="R49">
        <f ca="1">FIND("~",SUBSTITUTE(fTbl9[[#This Row],[Hierarchy]],"|","~",1))</f>
        <v>12</v>
      </c>
      <c r="S49">
        <f ca="1">FIND("~",SUBSTITUTE(fTbl9[[#This Row],[Hierarchy]],"|","~",2))</f>
        <v>19</v>
      </c>
      <c r="T49" cm="1">
        <f t="array" ref="T49">IF(fTbl9[[#This Row],[listlu]]=0,0,IF(INDEX(Ltbl[Context],fTbl9[[#This Row],[listlu]],1)="ALL",1,2))</f>
        <v>0</v>
      </c>
      <c r="U49" s="29"/>
    </row>
    <row r="50" spans="1:21">
      <c r="A50" s="15" t="s">
        <v>28</v>
      </c>
      <c r="B50" t="s">
        <v>253</v>
      </c>
      <c r="C50" t="s">
        <v>30</v>
      </c>
      <c r="D50" s="1">
        <v>30</v>
      </c>
      <c r="E50" s="1">
        <v>0</v>
      </c>
      <c r="F50" s="1"/>
      <c r="G50" s="1"/>
      <c r="H50" s="1"/>
      <c r="I50" s="19" t="s">
        <v>282</v>
      </c>
      <c r="J50" s="28" t="s">
        <v>255</v>
      </c>
      <c r="K50" t="str">
        <f ca="1">IFERROR(IF(fTbl9[[#This Row],[LT]]="H",MID(fTbl9[[#This Row],[Hierarchy]],fTbl9[[#This Row],[pipe1]]+1,fTbl9[[#This Row],[pipe2]]-fTbl9[[#This Row],[pipe1]]-1),LEFT(fTbl9[[#This Row],[Hierarchy]],FIND("|",fTbl9[[#This Row],[Hierarchy]])-1)),"")</f>
        <v>GORespLines</v>
      </c>
      <c r="L50" s="1">
        <f ca="1">IF(ROW()=3,0,OFFSET(fTbl9[[#This Row],[Lev]],-1,0)+IF(OFFSET(fTbl9[[#This Row],[LT]],-1,0)="H",1,IF(fTbl9[[#This Row],[LT]]="!H",-1,0)))</f>
        <v>2</v>
      </c>
      <c r="M50">
        <f>IF(RIGHT(fTbl9[[#This Row],[valid]],4)&lt;&gt;"list",0,IFERROR(MATCH(fTbl9[[#This Row],[Context]]&amp;"|"&amp;fTbl9[[#This Row],[Field]],Ltbl[ind],0),IFERROR(MATCH("ALL|"&amp;fTbl9[[#This Row],[Field]],Ltbl[ind],0),-1)))</f>
        <v>0</v>
      </c>
      <c r="N50" t="str" cm="1">
        <f t="array" ref="N50">IF(fTbl9[[#This Row],[listlu]]&lt;1,"",IF(INDEX(Ltbl[Generic],fTbl9[[#This Row],[listlu]])="","",INDEX(Ltbl[Generic],fTbl9[[#This Row],[listlu]])))</f>
        <v/>
      </c>
      <c r="O50">
        <f>IF(AND(fTbl9[[#This Row],[listlu]],ISERROR(FIND(",",fTbl9[[#This Row],[liMatch]])),fTbl9[[#This Row],[liMatch]]&lt;&gt;""),1,0)</f>
        <v>0</v>
      </c>
      <c r="P50">
        <f>IF(AND(fTbl9[[#This Row],[LT]]="Ref",ISNA(MATCH(fTbl9[[#This Row],[Field]],rTbl[Ref],0))),1,0)</f>
        <v>0</v>
      </c>
      <c r="Q50" t="str">
        <f ca="1">IF(ROW()=3,IF(fTbl9[[#This Row],[LT]]="H",fTbl9[[#This Row],[Field]]&amp;"|","|"),IF(fTbl9[[#This Row],[LT]]="H",fTbl9[[#This Row],[Field]]&amp;"|"&amp;OFFSET(fTbl9[[#This Row],[Hierarchy]],-1,0),IF(fTbl9[[#This Row],[LT]]&lt;&gt;"!H",OFFSET(fTbl9[[#This Row],[Hierarchy]],-1,0),RIGHT(OFFSET(fTbl9[[#This Row],[Hierarchy]],-1,0),LEN(OFFSET(fTbl9[[#This Row],[Hierarchy]],-1,0))-LEN(fTbl9[[#This Row],[Field]])-1))))</f>
        <v>GORespLines|GOResp|</v>
      </c>
      <c r="R50">
        <f ca="1">FIND("~",SUBSTITUTE(fTbl9[[#This Row],[Hierarchy]],"|","~",1))</f>
        <v>12</v>
      </c>
      <c r="S50">
        <f ca="1">FIND("~",SUBSTITUTE(fTbl9[[#This Row],[Hierarchy]],"|","~",2))</f>
        <v>19</v>
      </c>
      <c r="T50" cm="1">
        <f t="array" ref="T50">IF(fTbl9[[#This Row],[listlu]]=0,0,IF(INDEX(Ltbl[Context],fTbl9[[#This Row],[listlu]],1)="ALL",1,2))</f>
        <v>0</v>
      </c>
      <c r="U50" s="29"/>
    </row>
    <row r="51" spans="1:21">
      <c r="A51" s="15" t="s">
        <v>28</v>
      </c>
      <c r="B51" t="s">
        <v>163</v>
      </c>
      <c r="C51" t="s">
        <v>84</v>
      </c>
      <c r="D51" s="1"/>
      <c r="E51" s="1">
        <v>1</v>
      </c>
      <c r="F51" s="1"/>
      <c r="G51" s="1"/>
      <c r="H51" s="1"/>
      <c r="I51" s="19" t="s">
        <v>283</v>
      </c>
      <c r="J51" s="28" t="s">
        <v>200</v>
      </c>
      <c r="K51" t="str">
        <f ca="1">IFERROR(IF(fTbl9[[#This Row],[LT]]="H",MID(fTbl9[[#This Row],[Hierarchy]],fTbl9[[#This Row],[pipe1]]+1,fTbl9[[#This Row],[pipe2]]-fTbl9[[#This Row],[pipe1]]-1),LEFT(fTbl9[[#This Row],[Hierarchy]],FIND("|",fTbl9[[#This Row],[Hierarchy]])-1)),"")</f>
        <v>GORespLines</v>
      </c>
      <c r="L51" s="1">
        <f ca="1">IF(ROW()=3,0,OFFSET(fTbl9[[#This Row],[Lev]],-1,0)+IF(OFFSET(fTbl9[[#This Row],[LT]],-1,0)="H",1,IF(fTbl9[[#This Row],[LT]]="!H",-1,0)))</f>
        <v>2</v>
      </c>
      <c r="M51">
        <f>IF(RIGHT(fTbl9[[#This Row],[valid]],4)&lt;&gt;"list",0,IFERROR(MATCH(fTbl9[[#This Row],[Context]]&amp;"|"&amp;fTbl9[[#This Row],[Field]],Ltbl[ind],0),IFERROR(MATCH("ALL|"&amp;fTbl9[[#This Row],[Field]],Ltbl[ind],0),-1)))</f>
        <v>0</v>
      </c>
      <c r="N51" t="str" cm="1">
        <f t="array" ref="N51">IF(fTbl9[[#This Row],[listlu]]&lt;1,"",IF(INDEX(Ltbl[Generic],fTbl9[[#This Row],[listlu]])="","",INDEX(Ltbl[Generic],fTbl9[[#This Row],[listlu]])))</f>
        <v/>
      </c>
      <c r="O51">
        <f>IF(AND(fTbl9[[#This Row],[listlu]],ISERROR(FIND(",",fTbl9[[#This Row],[liMatch]])),fTbl9[[#This Row],[liMatch]]&lt;&gt;""),1,0)</f>
        <v>0</v>
      </c>
      <c r="P51">
        <f>IF(AND(fTbl9[[#This Row],[LT]]="Ref",ISNA(MATCH(fTbl9[[#This Row],[Field]],rTbl[Ref],0))),1,0)</f>
        <v>0</v>
      </c>
      <c r="Q51" t="str">
        <f ca="1">IF(ROW()=3,IF(fTbl9[[#This Row],[LT]]="H",fTbl9[[#This Row],[Field]]&amp;"|","|"),IF(fTbl9[[#This Row],[LT]]="H",fTbl9[[#This Row],[Field]]&amp;"|"&amp;OFFSET(fTbl9[[#This Row],[Hierarchy]],-1,0),IF(fTbl9[[#This Row],[LT]]&lt;&gt;"!H",OFFSET(fTbl9[[#This Row],[Hierarchy]],-1,0),RIGHT(OFFSET(fTbl9[[#This Row],[Hierarchy]],-1,0),LEN(OFFSET(fTbl9[[#This Row],[Hierarchy]],-1,0))-LEN(fTbl9[[#This Row],[Field]])-1))))</f>
        <v>GORespLines|GOResp|</v>
      </c>
      <c r="R51">
        <f ca="1">FIND("~",SUBSTITUTE(fTbl9[[#This Row],[Hierarchy]],"|","~",1))</f>
        <v>12</v>
      </c>
      <c r="S51">
        <f ca="1">FIND("~",SUBSTITUTE(fTbl9[[#This Row],[Hierarchy]],"|","~",2))</f>
        <v>19</v>
      </c>
      <c r="T51" cm="1">
        <f t="array" ref="T51">IF(fTbl9[[#This Row],[listlu]]=0,0,IF(INDEX(Ltbl[Context],fTbl9[[#This Row],[listlu]],1)="ALL",1,2))</f>
        <v>0</v>
      </c>
      <c r="U51" s="29"/>
    </row>
    <row r="52" spans="1:21">
      <c r="A52" s="15" t="s">
        <v>177</v>
      </c>
      <c r="B52" t="s">
        <v>274</v>
      </c>
      <c r="D52" s="1"/>
      <c r="E52" s="1"/>
      <c r="F52" s="1"/>
      <c r="G52" s="1"/>
      <c r="H52" s="1"/>
      <c r="I52" s="19"/>
      <c r="J52" s="28"/>
      <c r="K52" t="str">
        <f ca="1">IFERROR(IF(fTbl9[[#This Row],[LT]]="H",MID(fTbl9[[#This Row],[Hierarchy]],fTbl9[[#This Row],[pipe1]]+1,fTbl9[[#This Row],[pipe2]]-fTbl9[[#This Row],[pipe1]]-1),LEFT(fTbl9[[#This Row],[Hierarchy]],FIND("|",fTbl9[[#This Row],[Hierarchy]])-1)),"")</f>
        <v>GOResp</v>
      </c>
      <c r="L52" s="1">
        <f ca="1">IF(ROW()=3,0,OFFSET(fTbl9[[#This Row],[Lev]],-1,0)+IF(OFFSET(fTbl9[[#This Row],[LT]],-1,0)="H",1,IF(fTbl9[[#This Row],[LT]]="!H",-1,0)))</f>
        <v>1</v>
      </c>
      <c r="M52">
        <f>IF(RIGHT(fTbl9[[#This Row],[valid]],4)&lt;&gt;"list",0,IFERROR(MATCH(fTbl9[[#This Row],[Context]]&amp;"|"&amp;fTbl9[[#This Row],[Field]],Ltbl[ind],0),IFERROR(MATCH("ALL|"&amp;fTbl9[[#This Row],[Field]],Ltbl[ind],0),-1)))</f>
        <v>0</v>
      </c>
      <c r="N52" t="str" cm="1">
        <f t="array" ref="N52">IF(fTbl9[[#This Row],[listlu]]&lt;1,"",IF(INDEX(Ltbl[Generic],fTbl9[[#This Row],[listlu]])="","",INDEX(Ltbl[Generic],fTbl9[[#This Row],[listlu]])))</f>
        <v/>
      </c>
      <c r="O52">
        <f>IF(AND(fTbl9[[#This Row],[listlu]],ISERROR(FIND(",",fTbl9[[#This Row],[liMatch]])),fTbl9[[#This Row],[liMatch]]&lt;&gt;""),1,0)</f>
        <v>0</v>
      </c>
      <c r="P52">
        <f>IF(AND(fTbl9[[#This Row],[LT]]="Ref",ISNA(MATCH(fTbl9[[#This Row],[Field]],rTbl[Ref],0))),1,0)</f>
        <v>0</v>
      </c>
      <c r="Q52" t="str">
        <f ca="1">IF(ROW()=3,IF(fTbl9[[#This Row],[LT]]="H",fTbl9[[#This Row],[Field]]&amp;"|","|"),IF(fTbl9[[#This Row],[LT]]="H",fTbl9[[#This Row],[Field]]&amp;"|"&amp;OFFSET(fTbl9[[#This Row],[Hierarchy]],-1,0),IF(fTbl9[[#This Row],[LT]]&lt;&gt;"!H",OFFSET(fTbl9[[#This Row],[Hierarchy]],-1,0),RIGHT(OFFSET(fTbl9[[#This Row],[Hierarchy]],-1,0),LEN(OFFSET(fTbl9[[#This Row],[Hierarchy]],-1,0))-LEN(fTbl9[[#This Row],[Field]])-1))))</f>
        <v>GOResp|</v>
      </c>
      <c r="R52">
        <f ca="1">FIND("~",SUBSTITUTE(fTbl9[[#This Row],[Hierarchy]],"|","~",1))</f>
        <v>7</v>
      </c>
      <c r="S52" t="e">
        <f ca="1">FIND("~",SUBSTITUTE(fTbl9[[#This Row],[Hierarchy]],"|","~",2))</f>
        <v>#VALUE!</v>
      </c>
      <c r="T52" cm="1">
        <f t="array" ref="T52">IF(fTbl9[[#This Row],[listlu]]=0,0,IF(INDEX(Ltbl[Context],fTbl9[[#This Row],[listlu]],1)="ALL",1,2))</f>
        <v>0</v>
      </c>
      <c r="U52" s="29"/>
    </row>
    <row r="53" spans="1:21">
      <c r="A53" s="15" t="s">
        <v>177</v>
      </c>
      <c r="B53" t="s">
        <v>228</v>
      </c>
      <c r="D53" s="1"/>
      <c r="E53" s="1"/>
      <c r="F53" s="1"/>
      <c r="G53" s="1"/>
      <c r="H53" s="1"/>
      <c r="I53" s="19"/>
      <c r="J53" s="28"/>
      <c r="K53" t="str">
        <f ca="1">IFERROR(IF(fTbl9[[#This Row],[LT]]="H",MID(fTbl9[[#This Row],[Hierarchy]],fTbl9[[#This Row],[pipe1]]+1,fTbl9[[#This Row],[pipe2]]-fTbl9[[#This Row],[pipe1]]-1),LEFT(fTbl9[[#This Row],[Hierarchy]],FIND("|",fTbl9[[#This Row],[Hierarchy]])-1)),"")</f>
        <v/>
      </c>
      <c r="L53" s="1">
        <f ca="1">IF(ROW()=3,0,OFFSET(fTbl9[[#This Row],[Lev]],-1,0)+IF(OFFSET(fTbl9[[#This Row],[LT]],-1,0)="H",1,IF(fTbl9[[#This Row],[LT]]="!H",-1,0)))</f>
        <v>0</v>
      </c>
      <c r="M53">
        <f>IF(RIGHT(fTbl9[[#This Row],[valid]],4)&lt;&gt;"list",0,IFERROR(MATCH(fTbl9[[#This Row],[Context]]&amp;"|"&amp;fTbl9[[#This Row],[Field]],Ltbl[ind],0),IFERROR(MATCH("ALL|"&amp;fTbl9[[#This Row],[Field]],Ltbl[ind],0),-1)))</f>
        <v>0</v>
      </c>
      <c r="N53" t="str" cm="1">
        <f t="array" ref="N53">IF(fTbl9[[#This Row],[listlu]]&lt;1,"",IF(INDEX(Ltbl[Generic],fTbl9[[#This Row],[listlu]])="","",INDEX(Ltbl[Generic],fTbl9[[#This Row],[listlu]])))</f>
        <v/>
      </c>
      <c r="O53">
        <f>IF(AND(fTbl9[[#This Row],[listlu]],ISERROR(FIND(",",fTbl9[[#This Row],[liMatch]])),fTbl9[[#This Row],[liMatch]]&lt;&gt;""),1,0)</f>
        <v>0</v>
      </c>
      <c r="P53">
        <f>IF(AND(fTbl9[[#This Row],[LT]]="Ref",ISNA(MATCH(fTbl9[[#This Row],[Field]],rTbl[Ref],0))),1,0)</f>
        <v>0</v>
      </c>
      <c r="Q53" t="str">
        <f ca="1">IF(ROW()=3,IF(fTbl9[[#This Row],[LT]]="H",fTbl9[[#This Row],[Field]]&amp;"|","|"),IF(fTbl9[[#This Row],[LT]]="H",fTbl9[[#This Row],[Field]]&amp;"|"&amp;OFFSET(fTbl9[[#This Row],[Hierarchy]],-1,0),IF(fTbl9[[#This Row],[LT]]&lt;&gt;"!H",OFFSET(fTbl9[[#This Row],[Hierarchy]],-1,0),RIGHT(OFFSET(fTbl9[[#This Row],[Hierarchy]],-1,0),LEN(OFFSET(fTbl9[[#This Row],[Hierarchy]],-1,0))-LEN(fTbl9[[#This Row],[Field]])-1))))</f>
        <v/>
      </c>
      <c r="R53" t="e">
        <f ca="1">FIND("~",SUBSTITUTE(fTbl9[[#This Row],[Hierarchy]],"|","~",1))</f>
        <v>#VALUE!</v>
      </c>
      <c r="S53" t="e">
        <f ca="1">FIND("~",SUBSTITUTE(fTbl9[[#This Row],[Hierarchy]],"|","~",2))</f>
        <v>#VALUE!</v>
      </c>
      <c r="T53" cm="1">
        <f t="array" ref="T53">IF(fTbl9[[#This Row],[listlu]]=0,0,IF(INDEX(Ltbl[Context],fTbl9[[#This Row],[listlu]],1)="ALL",1,2))</f>
        <v>0</v>
      </c>
      <c r="U53" s="29"/>
    </row>
  </sheetData>
  <conditionalFormatting sqref="A3:L53">
    <cfRule type="expression" dxfId="399" priority="19">
      <formula>($A3="!H")</formula>
    </cfRule>
    <cfRule type="expression" dxfId="398" priority="20">
      <formula>($A3="REF")</formula>
    </cfRule>
    <cfRule type="expression" dxfId="397" priority="21">
      <formula>($A3="C")</formula>
    </cfRule>
    <cfRule type="expression" dxfId="396" priority="22">
      <formula>($A3="H")</formula>
    </cfRule>
  </conditionalFormatting>
  <conditionalFormatting sqref="I1">
    <cfRule type="cellIs" dxfId="395" priority="14" operator="greaterThan">
      <formula>"@"</formula>
    </cfRule>
  </conditionalFormatting>
  <conditionalFormatting sqref="K3:K53">
    <cfRule type="expression" dxfId="394" priority="17">
      <formula>($A3="C")</formula>
    </cfRule>
    <cfRule type="expression" dxfId="393" priority="18">
      <formula>($A3="")</formula>
    </cfRule>
  </conditionalFormatting>
  <conditionalFormatting sqref="A3:A53">
    <cfRule type="expression" dxfId="392" priority="16">
      <formula>NOT(OR(A3="",A3="H",A3="E",A3="C",A3="!H",A3="Ref"))</formula>
    </cfRule>
  </conditionalFormatting>
  <conditionalFormatting sqref="J3:J53 H3:H53">
    <cfRule type="expression" dxfId="391" priority="15">
      <formula>($O3)</formula>
    </cfRule>
  </conditionalFormatting>
  <conditionalFormatting sqref="H3:H53">
    <cfRule type="expression" dxfId="390" priority="23">
      <formula>AND($M3&gt;0,$N3&lt;&gt;$J3)</formula>
    </cfRule>
    <cfRule type="expression" dxfId="389" priority="24">
      <formula>AND($M3&gt;0,$N3=$J3)</formula>
    </cfRule>
    <cfRule type="expression" dxfId="388" priority="25">
      <formula>($M3=-1)</formula>
    </cfRule>
  </conditionalFormatting>
  <conditionalFormatting sqref="J3:J53">
    <cfRule type="expression" dxfId="387" priority="10">
      <formula>AND(M3&gt;0,N3&lt;&gt;J3)</formula>
    </cfRule>
    <cfRule type="expression" dxfId="386" priority="26">
      <formula>AND($A3="E",$E3&lt;&gt;1)</formula>
    </cfRule>
  </conditionalFormatting>
  <conditionalFormatting sqref="B3:B53">
    <cfRule type="expression" dxfId="385" priority="9">
      <formula>$P3</formula>
    </cfRule>
    <cfRule type="expression" dxfId="384" priority="13">
      <formula>AND($A3="!H",$B3&lt;&gt;OFFSET($K3,-1,0))</formula>
    </cfRule>
    <cfRule type="expression" dxfId="383" priority="27">
      <formula>AND($A3="E",$E3=1)</formula>
    </cfRule>
  </conditionalFormatting>
  <conditionalFormatting sqref="G3:G53">
    <cfRule type="expression" dxfId="382" priority="11">
      <formula>($T3=2)</formula>
    </cfRule>
    <cfRule type="expression" dxfId="381" priority="12">
      <formula>($T3=1)</formula>
    </cfRule>
  </conditionalFormatting>
  <conditionalFormatting sqref="B53">
    <cfRule type="expression" dxfId="380" priority="1">
      <formula>($A53="!H")</formula>
    </cfRule>
    <cfRule type="expression" dxfId="379" priority="2">
      <formula>($A53="REF")</formula>
    </cfRule>
    <cfRule type="expression" dxfId="378" priority="3">
      <formula>($A53="C")</formula>
    </cfRule>
    <cfRule type="expression" dxfId="377" priority="4">
      <formula>($A53="H")</formula>
    </cfRule>
  </conditionalFormatting>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7AA25-3CFC-4604-8ABC-85DC763F0EC1}">
  <sheetPr codeName="Sheet18">
    <tabColor rgb="FF7030A0"/>
  </sheetPr>
  <dimension ref="A1:U43"/>
  <sheetViews>
    <sheetView topLeftCell="A10" workbookViewId="0">
      <selection activeCell="I23" sqref="I23"/>
    </sheetView>
  </sheetViews>
  <sheetFormatPr defaultRowHeight="15"/>
  <cols>
    <col min="1" max="1" width="5" customWidth="1"/>
    <col min="2" max="2" width="23" customWidth="1"/>
    <col min="4" max="4" width="6.42578125" customWidth="1"/>
    <col min="5" max="6" width="4.7109375" customWidth="1"/>
    <col min="7" max="7" width="1" customWidth="1"/>
    <col min="8" max="8" width="10.140625" customWidth="1"/>
    <col min="9" max="9" width="56.7109375" customWidth="1"/>
    <col min="10" max="10" width="43.5703125" customWidth="1"/>
    <col min="11" max="11" width="13.42578125" customWidth="1"/>
    <col min="12" max="12" width="5.5703125" customWidth="1"/>
    <col min="13" max="16" width="9.140625" hidden="1" customWidth="1"/>
    <col min="17" max="17" width="27.7109375" hidden="1" customWidth="1"/>
    <col min="18" max="20" width="9.140625" hidden="1" customWidth="1"/>
    <col min="21" max="21" width="58.42578125" customWidth="1"/>
  </cols>
  <sheetData>
    <row r="1" spans="1:21" ht="30" customHeight="1">
      <c r="I1" s="16" t="str">
        <f>IF(COUNTIFS(fTbl215[LT],"H")&lt;&gt;COUNTIFS(fTbl215[LT],"!H"),"Header imbalance # H &lt;&gt; # !H","")</f>
        <v/>
      </c>
    </row>
    <row r="2" spans="1:21">
      <c r="A2" s="14" t="s">
        <v>0</v>
      </c>
      <c r="B2" s="11" t="s">
        <v>1</v>
      </c>
      <c r="C2" s="11" t="s">
        <v>2</v>
      </c>
      <c r="D2" s="12" t="s">
        <v>3</v>
      </c>
      <c r="E2" s="12" t="s">
        <v>4</v>
      </c>
      <c r="F2" s="12" t="s">
        <v>5</v>
      </c>
      <c r="G2" s="12" t="s">
        <v>6</v>
      </c>
      <c r="H2" s="12" t="s">
        <v>7</v>
      </c>
      <c r="I2" s="18" t="s">
        <v>8</v>
      </c>
      <c r="J2" s="17" t="s">
        <v>9</v>
      </c>
      <c r="K2" s="30" t="s">
        <v>10</v>
      </c>
      <c r="L2" s="31" t="s">
        <v>11</v>
      </c>
      <c r="M2" s="13" t="s">
        <v>12</v>
      </c>
      <c r="N2" s="13" t="s">
        <v>13</v>
      </c>
      <c r="O2" s="13" t="s">
        <v>14</v>
      </c>
      <c r="P2" s="13" t="s">
        <v>15</v>
      </c>
      <c r="Q2" s="13" t="s">
        <v>16</v>
      </c>
      <c r="R2" s="13" t="s">
        <v>17</v>
      </c>
      <c r="S2" s="13" t="s">
        <v>18</v>
      </c>
      <c r="T2" s="13" t="s">
        <v>19</v>
      </c>
      <c r="U2" s="13" t="s">
        <v>20</v>
      </c>
    </row>
    <row r="3" spans="1:21">
      <c r="A3" s="15" t="s">
        <v>21</v>
      </c>
      <c r="B3" t="s">
        <v>284</v>
      </c>
      <c r="D3" s="1"/>
      <c r="E3" s="1">
        <v>1</v>
      </c>
      <c r="F3" s="1" t="s">
        <v>23</v>
      </c>
      <c r="G3" s="1"/>
      <c r="H3" s="1"/>
      <c r="I3" s="19" t="s">
        <v>285</v>
      </c>
      <c r="J3" s="28"/>
      <c r="K3" t="str">
        <f ca="1">IFERROR(IF(fTbl215[[#This Row],[LT]]="H",MID(fTbl215[[#This Row],[Hierarchy]],fTbl215[[#This Row],[pipe1]]+1,fTbl215[[#This Row],[pipe2]]-fTbl215[[#This Row],[pipe1]]-1),LEFT(fTbl215[[#This Row],[Hierarchy]],FIND("|",fTbl215[[#This Row],[Hierarchy]])-1)),"")</f>
        <v/>
      </c>
      <c r="L3" s="1">
        <f ca="1">IF(ROW()=3,0,OFFSET(fTbl215[[#This Row],[Lev]],-1,0)+IF(OFFSET(fTbl215[[#This Row],[LT]],-1,0)="H",1,IF(fTbl215[[#This Row],[LT]]="!H",-1,0)))</f>
        <v>0</v>
      </c>
      <c r="M3">
        <f>IF(RIGHT(fTbl215[[#This Row],[valid]],4)&lt;&gt;"list",0,IFERROR(MATCH(fTbl215[[#This Row],[Context]]&amp;"|"&amp;fTbl215[[#This Row],[Field]],Ltbl[ind],0),IFERROR(MATCH("ALL|"&amp;fTbl215[[#This Row],[Field]],Ltbl[ind],0),-1)))</f>
        <v>0</v>
      </c>
      <c r="N3" t="str" cm="1">
        <f t="array" ref="N3">IF(fTbl215[[#This Row],[listlu]]&lt;1,"",IF(INDEX(Ltbl[Generic],fTbl215[[#This Row],[listlu]])="","",INDEX(Ltbl[Generic],fTbl215[[#This Row],[listlu]])))</f>
        <v/>
      </c>
      <c r="O3">
        <f>IF(AND(fTbl215[[#This Row],[listlu]],ISERROR(FIND(",",fTbl215[[#This Row],[liMatch]])),fTbl215[[#This Row],[liMatch]]&lt;&gt;""),1,0)</f>
        <v>0</v>
      </c>
      <c r="P3">
        <f>IF(AND(fTbl215[[#This Row],[LT]]="Ref",ISNA(MATCH(fTbl215[[#This Row],[Field]],rTbl[Ref],0))),1,0)</f>
        <v>0</v>
      </c>
      <c r="Q3"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3">
        <f ca="1">FIND("~",SUBSTITUTE(fTbl215[[#This Row],[Hierarchy]],"|","~",1))</f>
        <v>8</v>
      </c>
      <c r="S3" t="e">
        <f ca="1">FIND("~",SUBSTITUTE(fTbl215[[#This Row],[Hierarchy]],"|","~",2))</f>
        <v>#VALUE!</v>
      </c>
      <c r="T3" cm="1">
        <f t="array" ref="T3">IF(fTbl215[[#This Row],[listlu]]=0,0,IF(INDEX(Ltbl[Context],fTbl215[[#This Row],[listlu]],1)="ALL",1,2))</f>
        <v>0</v>
      </c>
      <c r="U3" s="29"/>
    </row>
    <row r="4" spans="1:21">
      <c r="A4" s="15" t="s">
        <v>25</v>
      </c>
      <c r="B4" t="s">
        <v>26</v>
      </c>
      <c r="D4" s="1"/>
      <c r="E4" s="1"/>
      <c r="F4" s="1"/>
      <c r="G4" s="1"/>
      <c r="H4" s="1"/>
      <c r="I4" s="19" t="s">
        <v>27</v>
      </c>
      <c r="J4" s="28"/>
      <c r="K4" t="str">
        <f ca="1">IFERROR(IF(fTbl215[[#This Row],[LT]]="H",MID(fTbl215[[#This Row],[Hierarchy]],fTbl215[[#This Row],[pipe1]]+1,fTbl215[[#This Row],[pipe2]]-fTbl215[[#This Row],[pipe1]]-1),LEFT(fTbl215[[#This Row],[Hierarchy]],FIND("|",fTbl215[[#This Row],[Hierarchy]])-1)),"")</f>
        <v>iOrders</v>
      </c>
      <c r="L4" s="1">
        <f ca="1">IF(ROW()=3,0,OFFSET(fTbl215[[#This Row],[Lev]],-1,0)+IF(OFFSET(fTbl215[[#This Row],[LT]],-1,0)="H",1,IF(fTbl215[[#This Row],[LT]]="!H",-1,0)))</f>
        <v>1</v>
      </c>
      <c r="M4">
        <f>IF(RIGHT(fTbl215[[#This Row],[valid]],4)&lt;&gt;"list",0,IFERROR(MATCH(fTbl215[[#This Row],[Context]]&amp;"|"&amp;fTbl215[[#This Row],[Field]],Ltbl[ind],0),IFERROR(MATCH("ALL|"&amp;fTbl215[[#This Row],[Field]],Ltbl[ind],0),-1)))</f>
        <v>0</v>
      </c>
      <c r="N4" t="str" cm="1">
        <f t="array" ref="N4">IF(fTbl215[[#This Row],[listlu]]&lt;1,"",IF(INDEX(Ltbl[Generic],fTbl215[[#This Row],[listlu]])="","",INDEX(Ltbl[Generic],fTbl215[[#This Row],[listlu]])))</f>
        <v/>
      </c>
      <c r="O4">
        <f>IF(AND(fTbl215[[#This Row],[listlu]],ISERROR(FIND(",",fTbl215[[#This Row],[liMatch]])),fTbl215[[#This Row],[liMatch]]&lt;&gt;""),1,0)</f>
        <v>0</v>
      </c>
      <c r="P4">
        <f>IF(AND(fTbl215[[#This Row],[LT]]="Ref",ISNA(MATCH(fTbl215[[#This Row],[Field]],rTbl[Ref],0))),1,0)</f>
        <v>0</v>
      </c>
      <c r="Q4"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4">
        <f ca="1">FIND("~",SUBSTITUTE(fTbl215[[#This Row],[Hierarchy]],"|","~",1))</f>
        <v>8</v>
      </c>
      <c r="S4" t="e">
        <f ca="1">FIND("~",SUBSTITUTE(fTbl215[[#This Row],[Hierarchy]],"|","~",2))</f>
        <v>#VALUE!</v>
      </c>
      <c r="T4" cm="1">
        <f t="array" ref="T4">IF(fTbl215[[#This Row],[listlu]]=0,0,IF(INDEX(Ltbl[Context],fTbl215[[#This Row],[listlu]],1)="ALL",1,2))</f>
        <v>0</v>
      </c>
      <c r="U4" s="29"/>
    </row>
    <row r="5" spans="1:21">
      <c r="A5" s="15" t="s">
        <v>28</v>
      </c>
      <c r="B5" t="s">
        <v>29</v>
      </c>
      <c r="C5" t="s">
        <v>30</v>
      </c>
      <c r="D5" s="1">
        <v>15</v>
      </c>
      <c r="E5" s="1">
        <v>1</v>
      </c>
      <c r="F5" s="1"/>
      <c r="G5" s="1"/>
      <c r="H5" s="1" t="s">
        <v>31</v>
      </c>
      <c r="I5" s="19" t="s">
        <v>32</v>
      </c>
      <c r="J5" s="28" t="s">
        <v>286</v>
      </c>
      <c r="K5" t="str">
        <f ca="1">IFERROR(IF(fTbl215[[#This Row],[LT]]="H",MID(fTbl215[[#This Row],[Hierarchy]],fTbl215[[#This Row],[pipe1]]+1,fTbl215[[#This Row],[pipe2]]-fTbl215[[#This Row],[pipe1]]-1),LEFT(fTbl215[[#This Row],[Hierarchy]],FIND("|",fTbl215[[#This Row],[Hierarchy]])-1)),"")</f>
        <v>iOrders</v>
      </c>
      <c r="L5" s="1">
        <f ca="1">IF(ROW()=3,0,OFFSET(fTbl215[[#This Row],[Lev]],-1,0)+IF(OFFSET(fTbl215[[#This Row],[LT]],-1,0)="H",1,IF(fTbl215[[#This Row],[LT]]="!H",-1,0)))</f>
        <v>1</v>
      </c>
      <c r="M5">
        <f ca="1">IF(RIGHT(fTbl215[[#This Row],[valid]],4)&lt;&gt;"list",0,IFERROR(MATCH(fTbl215[[#This Row],[Context]]&amp;"|"&amp;fTbl215[[#This Row],[Field]],Ltbl[ind],0),IFERROR(MATCH("ALL|"&amp;fTbl215[[#This Row],[Field]],Ltbl[ind],0),-1)))</f>
        <v>1</v>
      </c>
      <c r="N5" t="str" cm="1">
        <f t="array" aca="1" ref="N5" ca="1">IF(fTbl215[[#This Row],[listlu]]&lt;1,"",IF(INDEX(Ltbl[Generic],fTbl215[[#This Row],[listlu]])="","",INDEX(Ltbl[Generic],fTbl215[[#This Row],[listlu]])))</f>
        <v>CUST</v>
      </c>
      <c r="O5">
        <f ca="1">IF(AND(fTbl215[[#This Row],[listlu]],ISERROR(FIND(",",fTbl215[[#This Row],[liMatch]])),fTbl215[[#This Row],[liMatch]]&lt;&gt;""),1,0)</f>
        <v>1</v>
      </c>
      <c r="P5">
        <f>IF(AND(fTbl215[[#This Row],[LT]]="Ref",ISNA(MATCH(fTbl215[[#This Row],[Field]],rTbl[Ref],0))),1,0)</f>
        <v>0</v>
      </c>
      <c r="Q5"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5">
        <f ca="1">FIND("~",SUBSTITUTE(fTbl215[[#This Row],[Hierarchy]],"|","~",1))</f>
        <v>8</v>
      </c>
      <c r="S5" t="e">
        <f ca="1">FIND("~",SUBSTITUTE(fTbl215[[#This Row],[Hierarchy]],"|","~",2))</f>
        <v>#VALUE!</v>
      </c>
      <c r="T5" cm="1">
        <f t="array" aca="1" ref="T5" ca="1">IF(fTbl215[[#This Row],[listlu]]=0,0,IF(INDEX(Ltbl[Context],fTbl215[[#This Row],[listlu]],1)="ALL",1,2))</f>
        <v>1</v>
      </c>
      <c r="U5" s="29"/>
    </row>
    <row r="6" spans="1:21">
      <c r="A6" s="15" t="s">
        <v>28</v>
      </c>
      <c r="B6" t="s">
        <v>34</v>
      </c>
      <c r="C6" t="s">
        <v>30</v>
      </c>
      <c r="D6" s="1">
        <v>15</v>
      </c>
      <c r="E6" s="1">
        <v>1</v>
      </c>
      <c r="F6" s="1"/>
      <c r="G6" s="1"/>
      <c r="H6" s="1" t="s">
        <v>31</v>
      </c>
      <c r="I6" s="19" t="s">
        <v>35</v>
      </c>
      <c r="J6" s="27" t="s">
        <v>206</v>
      </c>
      <c r="K6" t="str">
        <f ca="1">IFERROR(IF(fTbl215[[#This Row],[LT]]="H",MID(fTbl215[[#This Row],[Hierarchy]],fTbl215[[#This Row],[pipe1]]+1,fTbl215[[#This Row],[pipe2]]-fTbl215[[#This Row],[pipe1]]-1),LEFT(fTbl215[[#This Row],[Hierarchy]],FIND("|",fTbl215[[#This Row],[Hierarchy]])-1)),"")</f>
        <v>iOrders</v>
      </c>
      <c r="L6" s="1">
        <f ca="1">IF(ROW()=3,0,OFFSET(fTbl215[[#This Row],[Lev]],-1,0)+IF(OFFSET(fTbl215[[#This Row],[LT]],-1,0)="H",1,IF(fTbl215[[#This Row],[LT]]="!H",-1,0)))</f>
        <v>1</v>
      </c>
      <c r="M6">
        <f ca="1">IF(RIGHT(fTbl215[[#This Row],[valid]],4)&lt;&gt;"list",0,IFERROR(MATCH(fTbl215[[#This Row],[Context]]&amp;"|"&amp;fTbl215[[#This Row],[Field]],Ltbl[ind],0),IFERROR(MATCH("ALL|"&amp;fTbl215[[#This Row],[Field]],Ltbl[ind],0),-1)))</f>
        <v>6</v>
      </c>
      <c r="N6" t="str" cm="1">
        <f t="array" aca="1" ref="N6" ca="1">IF(fTbl215[[#This Row],[listlu]]&lt;1,"",IF(INDEX(Ltbl[Generic],fTbl215[[#This Row],[listlu]])="","",INDEX(Ltbl[Generic],fTbl215[[#This Row],[listlu]])))</f>
        <v>NORTHAMPTON</v>
      </c>
      <c r="O6">
        <f ca="1">IF(AND(fTbl215[[#This Row],[listlu]],ISERROR(FIND(",",fTbl215[[#This Row],[liMatch]])),fTbl215[[#This Row],[liMatch]]&lt;&gt;""),1,0)</f>
        <v>1</v>
      </c>
      <c r="P6">
        <f>IF(AND(fTbl215[[#This Row],[LT]]="Ref",ISNA(MATCH(fTbl215[[#This Row],[Field]],rTbl[Ref],0))),1,0)</f>
        <v>0</v>
      </c>
      <c r="Q6"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6">
        <f ca="1">FIND("~",SUBSTITUTE(fTbl215[[#This Row],[Hierarchy]],"|","~",1))</f>
        <v>8</v>
      </c>
      <c r="S6" t="e">
        <f ca="1">FIND("~",SUBSTITUTE(fTbl215[[#This Row],[Hierarchy]],"|","~",2))</f>
        <v>#VALUE!</v>
      </c>
      <c r="T6" cm="1">
        <f t="array" aca="1" ref="T6" ca="1">IF(fTbl215[[#This Row],[listlu]]=0,0,IF(INDEX(Ltbl[Context],fTbl215[[#This Row],[listlu]],1)="ALL",1,2))</f>
        <v>1</v>
      </c>
      <c r="U6" s="29"/>
    </row>
    <row r="7" spans="1:21">
      <c r="A7" s="15" t="s">
        <v>28</v>
      </c>
      <c r="B7" t="s">
        <v>37</v>
      </c>
      <c r="C7" t="s">
        <v>30</v>
      </c>
      <c r="D7" s="1">
        <v>15</v>
      </c>
      <c r="E7" s="1">
        <v>1</v>
      </c>
      <c r="F7" s="1"/>
      <c r="G7" s="1"/>
      <c r="H7" s="1" t="s">
        <v>31</v>
      </c>
      <c r="I7" s="19" t="s">
        <v>38</v>
      </c>
      <c r="J7" s="28" t="s">
        <v>286</v>
      </c>
      <c r="K7" t="str">
        <f ca="1">IFERROR(IF(fTbl215[[#This Row],[LT]]="H",MID(fTbl215[[#This Row],[Hierarchy]],fTbl215[[#This Row],[pipe1]]+1,fTbl215[[#This Row],[pipe2]]-fTbl215[[#This Row],[pipe1]]-1),LEFT(fTbl215[[#This Row],[Hierarchy]],FIND("|",fTbl215[[#This Row],[Hierarchy]])-1)),"")</f>
        <v>iOrders</v>
      </c>
      <c r="L7" s="1">
        <f ca="1">IF(ROW()=3,0,OFFSET(fTbl215[[#This Row],[Lev]],-1,0)+IF(OFFSET(fTbl215[[#This Row],[LT]],-1,0)="H",1,IF(fTbl215[[#This Row],[LT]]="!H",-1,0)))</f>
        <v>1</v>
      </c>
      <c r="M7">
        <f ca="1">IF(RIGHT(fTbl215[[#This Row],[valid]],4)&lt;&gt;"list",0,IFERROR(MATCH(fTbl215[[#This Row],[Context]]&amp;"|"&amp;fTbl215[[#This Row],[Field]],Ltbl[ind],0),IFERROR(MATCH("ALL|"&amp;fTbl215[[#This Row],[Field]],Ltbl[ind],0),-1)))</f>
        <v>9</v>
      </c>
      <c r="N7" t="str" cm="1">
        <f t="array" aca="1" ref="N7" ca="1">IF(fTbl215[[#This Row],[listlu]]&lt;1,"",IF(INDEX(Ltbl[Generic],fTbl215[[#This Row],[listlu]])="","",INDEX(Ltbl[Generic],fTbl215[[#This Row],[listlu]])))</f>
        <v>ECOM,WS,BULK</v>
      </c>
      <c r="O7">
        <f ca="1">IF(AND(fTbl215[[#This Row],[listlu]],ISERROR(FIND(",",fTbl215[[#This Row],[liMatch]])),fTbl215[[#This Row],[liMatch]]&lt;&gt;""),1,0)</f>
        <v>0</v>
      </c>
      <c r="P7">
        <f>IF(AND(fTbl215[[#This Row],[LT]]="Ref",ISNA(MATCH(fTbl215[[#This Row],[Field]],rTbl[Ref],0))),1,0)</f>
        <v>0</v>
      </c>
      <c r="Q7"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7">
        <f ca="1">FIND("~",SUBSTITUTE(fTbl215[[#This Row],[Hierarchy]],"|","~",1))</f>
        <v>8</v>
      </c>
      <c r="S7" t="e">
        <f ca="1">FIND("~",SUBSTITUTE(fTbl215[[#This Row],[Hierarchy]],"|","~",2))</f>
        <v>#VALUE!</v>
      </c>
      <c r="T7" cm="1">
        <f t="array" aca="1" ref="T7" ca="1">IF(fTbl215[[#This Row],[listlu]]=0,0,IF(INDEX(Ltbl[Context],fTbl215[[#This Row],[listlu]],1)="ALL",1,2))</f>
        <v>1</v>
      </c>
      <c r="U7" s="29"/>
    </row>
    <row r="8" spans="1:21">
      <c r="A8" s="15" t="s">
        <v>28</v>
      </c>
      <c r="B8" t="s">
        <v>40</v>
      </c>
      <c r="C8" t="s">
        <v>30</v>
      </c>
      <c r="D8" s="1">
        <v>250</v>
      </c>
      <c r="E8" s="1">
        <v>0</v>
      </c>
      <c r="F8" s="1"/>
      <c r="G8" s="1"/>
      <c r="H8" s="1"/>
      <c r="I8" s="19" t="s">
        <v>41</v>
      </c>
      <c r="J8" s="28" t="s">
        <v>42</v>
      </c>
      <c r="K8" t="str">
        <f ca="1">IFERROR(IF(fTbl215[[#This Row],[LT]]="H",MID(fTbl215[[#This Row],[Hierarchy]],fTbl215[[#This Row],[pipe1]]+1,fTbl215[[#This Row],[pipe2]]-fTbl215[[#This Row],[pipe1]]-1),LEFT(fTbl215[[#This Row],[Hierarchy]],FIND("|",fTbl215[[#This Row],[Hierarchy]])-1)),"")</f>
        <v>iOrders</v>
      </c>
      <c r="L8" s="1">
        <f ca="1">IF(ROW()=3,0,OFFSET(fTbl215[[#This Row],[Lev]],-1,0)+IF(OFFSET(fTbl215[[#This Row],[LT]],-1,0)="H",1,IF(fTbl215[[#This Row],[LT]]="!H",-1,0)))</f>
        <v>1</v>
      </c>
      <c r="M8">
        <f>IF(RIGHT(fTbl215[[#This Row],[valid]],4)&lt;&gt;"list",0,IFERROR(MATCH(fTbl215[[#This Row],[Context]]&amp;"|"&amp;fTbl215[[#This Row],[Field]],Ltbl[ind],0),IFERROR(MATCH("ALL|"&amp;fTbl215[[#This Row],[Field]],Ltbl[ind],0),-1)))</f>
        <v>0</v>
      </c>
      <c r="N8" t="str" cm="1">
        <f t="array" ref="N8">IF(fTbl215[[#This Row],[listlu]]&lt;1,"",IF(INDEX(Ltbl[Generic],fTbl215[[#This Row],[listlu]])="","",INDEX(Ltbl[Generic],fTbl215[[#This Row],[listlu]])))</f>
        <v/>
      </c>
      <c r="O8">
        <f>IF(AND(fTbl215[[#This Row],[listlu]],ISERROR(FIND(",",fTbl215[[#This Row],[liMatch]])),fTbl215[[#This Row],[liMatch]]&lt;&gt;""),1,0)</f>
        <v>0</v>
      </c>
      <c r="P8">
        <f>IF(AND(fTbl215[[#This Row],[LT]]="Ref",ISNA(MATCH(fTbl215[[#This Row],[Field]],rTbl[Ref],0))),1,0)</f>
        <v>0</v>
      </c>
      <c r="Q8"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8">
        <f ca="1">FIND("~",SUBSTITUTE(fTbl215[[#This Row],[Hierarchy]],"|","~",1))</f>
        <v>8</v>
      </c>
      <c r="S8" t="e">
        <f ca="1">FIND("~",SUBSTITUTE(fTbl215[[#This Row],[Hierarchy]],"|","~",2))</f>
        <v>#VALUE!</v>
      </c>
      <c r="T8" cm="1">
        <f t="array" ref="T8">IF(fTbl215[[#This Row],[listlu]]=0,0,IF(INDEX(Ltbl[Context],fTbl215[[#This Row],[listlu]],1)="ALL",1,2))</f>
        <v>0</v>
      </c>
      <c r="U8" s="29"/>
    </row>
    <row r="9" spans="1:21">
      <c r="A9" s="15" t="s">
        <v>28</v>
      </c>
      <c r="B9" t="s">
        <v>43</v>
      </c>
      <c r="C9" t="s">
        <v>30</v>
      </c>
      <c r="D9" s="1">
        <v>50</v>
      </c>
      <c r="E9" s="1">
        <v>0</v>
      </c>
      <c r="F9" s="1"/>
      <c r="G9" s="1"/>
      <c r="H9" s="1"/>
      <c r="I9" s="19" t="s">
        <v>44</v>
      </c>
      <c r="J9" s="28" t="s">
        <v>45</v>
      </c>
      <c r="K9" t="str">
        <f ca="1">IFERROR(IF(fTbl215[[#This Row],[LT]]="H",MID(fTbl215[[#This Row],[Hierarchy]],fTbl215[[#This Row],[pipe1]]+1,fTbl215[[#This Row],[pipe2]]-fTbl215[[#This Row],[pipe1]]-1),LEFT(fTbl215[[#This Row],[Hierarchy]],FIND("|",fTbl215[[#This Row],[Hierarchy]])-1)),"")</f>
        <v>iOrders</v>
      </c>
      <c r="L9" s="1">
        <f ca="1">IF(ROW()=3,0,OFFSET(fTbl215[[#This Row],[Lev]],-1,0)+IF(OFFSET(fTbl215[[#This Row],[LT]],-1,0)="H",1,IF(fTbl215[[#This Row],[LT]]="!H",-1,0)))</f>
        <v>1</v>
      </c>
      <c r="M9">
        <f>IF(RIGHT(fTbl215[[#This Row],[valid]],4)&lt;&gt;"list",0,IFERROR(MATCH(fTbl215[[#This Row],[Context]]&amp;"|"&amp;fTbl215[[#This Row],[Field]],Ltbl[ind],0),IFERROR(MATCH("ALL|"&amp;fTbl215[[#This Row],[Field]],Ltbl[ind],0),-1)))</f>
        <v>0</v>
      </c>
      <c r="N9" t="str" cm="1">
        <f t="array" ref="N9">IF(fTbl215[[#This Row],[listlu]]&lt;1,"",IF(INDEX(Ltbl[Generic],fTbl215[[#This Row],[listlu]])="","",INDEX(Ltbl[Generic],fTbl215[[#This Row],[listlu]])))</f>
        <v/>
      </c>
      <c r="O9">
        <f>IF(AND(fTbl215[[#This Row],[listlu]],ISERROR(FIND(",",fTbl215[[#This Row],[liMatch]])),fTbl215[[#This Row],[liMatch]]&lt;&gt;""),1,0)</f>
        <v>0</v>
      </c>
      <c r="P9">
        <f>IF(AND(fTbl215[[#This Row],[LT]]="Ref",ISNA(MATCH(fTbl215[[#This Row],[Field]],rTbl[Ref],0))),1,0)</f>
        <v>0</v>
      </c>
      <c r="Q9"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9">
        <f ca="1">FIND("~",SUBSTITUTE(fTbl215[[#This Row],[Hierarchy]],"|","~",1))</f>
        <v>8</v>
      </c>
      <c r="S9" t="e">
        <f ca="1">FIND("~",SUBSTITUTE(fTbl215[[#This Row],[Hierarchy]],"|","~",2))</f>
        <v>#VALUE!</v>
      </c>
      <c r="T9" cm="1">
        <f t="array" ref="T9">IF(fTbl215[[#This Row],[listlu]]=0,0,IF(INDEX(Ltbl[Context],fTbl215[[#This Row],[listlu]],1)="ALL",1,2))</f>
        <v>0</v>
      </c>
      <c r="U9" s="29"/>
    </row>
    <row r="10" spans="1:21">
      <c r="A10" s="15" t="s">
        <v>25</v>
      </c>
      <c r="B10" t="s">
        <v>53</v>
      </c>
      <c r="D10" s="1"/>
      <c r="E10" s="1"/>
      <c r="F10" s="1"/>
      <c r="G10" s="1"/>
      <c r="H10" s="1"/>
      <c r="I10" s="19" t="s">
        <v>54</v>
      </c>
      <c r="J10" s="28"/>
      <c r="K10" t="str">
        <f ca="1">IFERROR(IF(fTbl215[[#This Row],[LT]]="H",MID(fTbl215[[#This Row],[Hierarchy]],fTbl215[[#This Row],[pipe1]]+1,fTbl215[[#This Row],[pipe2]]-fTbl215[[#This Row],[pipe1]]-1),LEFT(fTbl215[[#This Row],[Hierarchy]],FIND("|",fTbl215[[#This Row],[Hierarchy]])-1)),"")</f>
        <v>iOrders</v>
      </c>
      <c r="L10" s="1">
        <f ca="1">IF(ROW()=3,0,OFFSET(fTbl215[[#This Row],[Lev]],-1,0)+IF(OFFSET(fTbl215[[#This Row],[LT]],-1,0)="H",1,IF(fTbl215[[#This Row],[LT]]="!H",-1,0)))</f>
        <v>1</v>
      </c>
      <c r="M10">
        <f>IF(RIGHT(fTbl215[[#This Row],[valid]],4)&lt;&gt;"list",0,IFERROR(MATCH(fTbl215[[#This Row],[Context]]&amp;"|"&amp;fTbl215[[#This Row],[Field]],Ltbl[ind],0),IFERROR(MATCH("ALL|"&amp;fTbl215[[#This Row],[Field]],Ltbl[ind],0),-1)))</f>
        <v>0</v>
      </c>
      <c r="N10" t="str" cm="1">
        <f t="array" ref="N10">IF(fTbl215[[#This Row],[listlu]]&lt;1,"",IF(INDEX(Ltbl[Generic],fTbl215[[#This Row],[listlu]])="","",INDEX(Ltbl[Generic],fTbl215[[#This Row],[listlu]])))</f>
        <v/>
      </c>
      <c r="O10">
        <f>IF(AND(fTbl215[[#This Row],[listlu]],ISERROR(FIND(",",fTbl215[[#This Row],[liMatch]])),fTbl215[[#This Row],[liMatch]]&lt;&gt;""),1,0)</f>
        <v>0</v>
      </c>
      <c r="P10">
        <f>IF(AND(fTbl215[[#This Row],[LT]]="Ref",ISNA(MATCH(fTbl215[[#This Row],[Field]],rTbl[Ref],0))),1,0)</f>
        <v>0</v>
      </c>
      <c r="Q10"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10">
        <f ca="1">FIND("~",SUBSTITUTE(fTbl215[[#This Row],[Hierarchy]],"|","~",1))</f>
        <v>8</v>
      </c>
      <c r="S10" t="e">
        <f ca="1">FIND("~",SUBSTITUTE(fTbl215[[#This Row],[Hierarchy]],"|","~",2))</f>
        <v>#VALUE!</v>
      </c>
      <c r="T10" cm="1">
        <f t="array" ref="T10">IF(fTbl215[[#This Row],[listlu]]=0,0,IF(INDEX(Ltbl[Context],fTbl215[[#This Row],[listlu]],1)="ALL",1,2))</f>
        <v>0</v>
      </c>
      <c r="U10" s="29"/>
    </row>
    <row r="11" spans="1:21">
      <c r="A11" s="15" t="s">
        <v>28</v>
      </c>
      <c r="B11" t="s">
        <v>55</v>
      </c>
      <c r="C11" t="s">
        <v>30</v>
      </c>
      <c r="D11" s="1">
        <v>5</v>
      </c>
      <c r="E11" s="1">
        <v>1</v>
      </c>
      <c r="F11" s="1"/>
      <c r="G11" s="1"/>
      <c r="H11" s="1" t="s">
        <v>56</v>
      </c>
      <c r="I11" s="19" t="s">
        <v>287</v>
      </c>
      <c r="J11" s="28" t="s">
        <v>288</v>
      </c>
      <c r="K11" t="str">
        <f ca="1">IFERROR(IF(fTbl215[[#This Row],[LT]]="H",MID(fTbl215[[#This Row],[Hierarchy]],fTbl215[[#This Row],[pipe1]]+1,fTbl215[[#This Row],[pipe2]]-fTbl215[[#This Row],[pipe1]]-1),LEFT(fTbl215[[#This Row],[Hierarchy]],FIND("|",fTbl215[[#This Row],[Hierarchy]])-1)),"")</f>
        <v>iOrders</v>
      </c>
      <c r="L11" s="1">
        <f ca="1">IF(ROW()=3,0,OFFSET(fTbl215[[#This Row],[Lev]],-1,0)+IF(OFFSET(fTbl215[[#This Row],[LT]],-1,0)="H",1,IF(fTbl215[[#This Row],[LT]]="!H",-1,0)))</f>
        <v>1</v>
      </c>
      <c r="M11">
        <f ca="1">IF(RIGHT(fTbl215[[#This Row],[valid]],4)&lt;&gt;"list",0,IFERROR(MATCH(fTbl215[[#This Row],[Context]]&amp;"|"&amp;fTbl215[[#This Row],[Field]],Ltbl[ind],0),IFERROR(MATCH("ALL|"&amp;fTbl215[[#This Row],[Field]],Ltbl[ind],0),-1)))</f>
        <v>19</v>
      </c>
      <c r="N11" t="str" cm="1">
        <f t="array" aca="1" ref="N11" ca="1">IF(fTbl215[[#This Row],[listlu]]&lt;1,"",IF(INDEX(Ltbl[Generic],fTbl215[[#This Row],[listlu]])="","",INDEX(Ltbl[Generic],fTbl215[[#This Row],[listlu]])))</f>
        <v>PO,TOI,ASN</v>
      </c>
      <c r="O11">
        <f ca="1">IF(AND(fTbl215[[#This Row],[listlu]],ISERROR(FIND(",",fTbl215[[#This Row],[liMatch]])),fTbl215[[#This Row],[liMatch]]&lt;&gt;""),1,0)</f>
        <v>0</v>
      </c>
      <c r="P11">
        <f>IF(AND(fTbl215[[#This Row],[LT]]="Ref",ISNA(MATCH(fTbl215[[#This Row],[Field]],rTbl[Ref],0))),1,0)</f>
        <v>0</v>
      </c>
      <c r="Q11"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11">
        <f ca="1">FIND("~",SUBSTITUTE(fTbl215[[#This Row],[Hierarchy]],"|","~",1))</f>
        <v>8</v>
      </c>
      <c r="S11" t="e">
        <f ca="1">FIND("~",SUBSTITUTE(fTbl215[[#This Row],[Hierarchy]],"|","~",2))</f>
        <v>#VALUE!</v>
      </c>
      <c r="T11" cm="1">
        <f t="array" aca="1" ref="T11" ca="1">IF(fTbl215[[#This Row],[listlu]]=0,0,IF(INDEX(Ltbl[Context],fTbl215[[#This Row],[listlu]],1)="ALL",1,2))</f>
        <v>2</v>
      </c>
      <c r="U11" s="29"/>
    </row>
    <row r="12" spans="1:21">
      <c r="A12" s="15" t="s">
        <v>28</v>
      </c>
      <c r="B12" t="s">
        <v>60</v>
      </c>
      <c r="C12" t="s">
        <v>30</v>
      </c>
      <c r="D12" s="1">
        <v>5</v>
      </c>
      <c r="E12" s="1">
        <v>1</v>
      </c>
      <c r="F12" s="1"/>
      <c r="G12" s="1"/>
      <c r="H12" s="1" t="s">
        <v>56</v>
      </c>
      <c r="I12" s="19" t="s">
        <v>61</v>
      </c>
      <c r="J12" s="28" t="s">
        <v>62</v>
      </c>
      <c r="K12" t="str">
        <f ca="1">IFERROR(IF(fTbl215[[#This Row],[LT]]="H",MID(fTbl215[[#This Row],[Hierarchy]],fTbl215[[#This Row],[pipe1]]+1,fTbl215[[#This Row],[pipe2]]-fTbl215[[#This Row],[pipe1]]-1),LEFT(fTbl215[[#This Row],[Hierarchy]],FIND("|",fTbl215[[#This Row],[Hierarchy]])-1)),"")</f>
        <v>iOrders</v>
      </c>
      <c r="L12" s="1">
        <f ca="1">IF(ROW()=3,0,OFFSET(fTbl215[[#This Row],[Lev]],-1,0)+IF(OFFSET(fTbl215[[#This Row],[LT]],-1,0)="H",1,IF(fTbl215[[#This Row],[LT]]="!H",-1,0)))</f>
        <v>1</v>
      </c>
      <c r="M12">
        <f ca="1">IF(RIGHT(fTbl215[[#This Row],[valid]],4)&lt;&gt;"list",0,IFERROR(MATCH(fTbl215[[#This Row],[Context]]&amp;"|"&amp;fTbl215[[#This Row],[Field]],Ltbl[ind],0),IFERROR(MATCH("ALL|"&amp;fTbl215[[#This Row],[Field]],Ltbl[ind],0),-1)))</f>
        <v>8</v>
      </c>
      <c r="N12" t="str" cm="1">
        <f t="array" aca="1" ref="N12" ca="1">IF(fTbl215[[#This Row],[listlu]]&lt;1,"",IF(INDEX(Ltbl[Generic],fTbl215[[#This Row],[listlu]])="","",INDEX(Ltbl[Generic],fTbl215[[#This Row],[listlu]])))</f>
        <v>NEW,UPD</v>
      </c>
      <c r="O12">
        <f ca="1">IF(AND(fTbl215[[#This Row],[listlu]],ISERROR(FIND(",",fTbl215[[#This Row],[liMatch]])),fTbl215[[#This Row],[liMatch]]&lt;&gt;""),1,0)</f>
        <v>0</v>
      </c>
      <c r="P12">
        <f>IF(AND(fTbl215[[#This Row],[LT]]="Ref",ISNA(MATCH(fTbl215[[#This Row],[Field]],rTbl[Ref],0))),1,0)</f>
        <v>0</v>
      </c>
      <c r="Q12"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12">
        <f ca="1">FIND("~",SUBSTITUTE(fTbl215[[#This Row],[Hierarchy]],"|","~",1))</f>
        <v>8</v>
      </c>
      <c r="S12" t="e">
        <f ca="1">FIND("~",SUBSTITUTE(fTbl215[[#This Row],[Hierarchy]],"|","~",2))</f>
        <v>#VALUE!</v>
      </c>
      <c r="T12" cm="1">
        <f t="array" aca="1" ref="T12" ca="1">IF(fTbl215[[#This Row],[listlu]]=0,0,IF(INDEX(Ltbl[Context],fTbl215[[#This Row],[listlu]],1)="ALL",1,2))</f>
        <v>1</v>
      </c>
      <c r="U12" s="29"/>
    </row>
    <row r="13" spans="1:21">
      <c r="A13" s="15" t="s">
        <v>28</v>
      </c>
      <c r="B13" t="s">
        <v>64</v>
      </c>
      <c r="C13" t="s">
        <v>30</v>
      </c>
      <c r="D13" s="1">
        <v>10</v>
      </c>
      <c r="E13" s="1">
        <v>1</v>
      </c>
      <c r="F13" s="1"/>
      <c r="G13" s="1"/>
      <c r="H13" s="1" t="s">
        <v>56</v>
      </c>
      <c r="I13" s="19" t="s">
        <v>289</v>
      </c>
      <c r="J13" s="28" t="s">
        <v>290</v>
      </c>
      <c r="K13" t="str">
        <f ca="1">IFERROR(IF(fTbl215[[#This Row],[LT]]="H",MID(fTbl215[[#This Row],[Hierarchy]],fTbl215[[#This Row],[pipe1]]+1,fTbl215[[#This Row],[pipe2]]-fTbl215[[#This Row],[pipe1]]-1),LEFT(fTbl215[[#This Row],[Hierarchy]],FIND("|",fTbl215[[#This Row],[Hierarchy]])-1)),"")</f>
        <v>iOrders</v>
      </c>
      <c r="L13" s="1">
        <f ca="1">IF(ROW()=3,0,OFFSET(fTbl215[[#This Row],[Lev]],-1,0)+IF(OFFSET(fTbl215[[#This Row],[LT]],-1,0)="H",1,IF(fTbl215[[#This Row],[LT]]="!H",-1,0)))</f>
        <v>1</v>
      </c>
      <c r="M13">
        <f ca="1">IF(RIGHT(fTbl215[[#This Row],[valid]],4)&lt;&gt;"list",0,IFERROR(MATCH(fTbl215[[#This Row],[Context]]&amp;"|"&amp;fTbl215[[#This Row],[Field]],Ltbl[ind],0),IFERROR(MATCH("ALL|"&amp;fTbl215[[#This Row],[Field]],Ltbl[ind],0),-1)))</f>
        <v>18</v>
      </c>
      <c r="N13" t="str" cm="1">
        <f t="array" aca="1" ref="N13" ca="1">IF(fTbl215[[#This Row],[listlu]]&lt;1,"",IF(INDEX(Ltbl[Generic],fTbl215[[#This Row],[listlu]])="","",INDEX(Ltbl[Generic],fTbl215[[#This Row],[listlu]])))</f>
        <v>STD,EXP</v>
      </c>
      <c r="O13">
        <f ca="1">IF(AND(fTbl215[[#This Row],[listlu]],ISERROR(FIND(",",fTbl215[[#This Row],[liMatch]])),fTbl215[[#This Row],[liMatch]]&lt;&gt;""),1,0)</f>
        <v>0</v>
      </c>
      <c r="P13">
        <f>IF(AND(fTbl215[[#This Row],[LT]]="Ref",ISNA(MATCH(fTbl215[[#This Row],[Field]],rTbl[Ref],0))),1,0)</f>
        <v>0</v>
      </c>
      <c r="Q13"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13">
        <f ca="1">FIND("~",SUBSTITUTE(fTbl215[[#This Row],[Hierarchy]],"|","~",1))</f>
        <v>8</v>
      </c>
      <c r="S13" t="e">
        <f ca="1">FIND("~",SUBSTITUTE(fTbl215[[#This Row],[Hierarchy]],"|","~",2))</f>
        <v>#VALUE!</v>
      </c>
      <c r="T13" cm="1">
        <f t="array" aca="1" ref="T13" ca="1">IF(fTbl215[[#This Row],[listlu]]=0,0,IF(INDEX(Ltbl[Context],fTbl215[[#This Row],[listlu]],1)="ALL",1,2))</f>
        <v>2</v>
      </c>
      <c r="U13" s="29"/>
    </row>
    <row r="14" spans="1:21" ht="15" customHeight="1">
      <c r="A14" s="15" t="s">
        <v>28</v>
      </c>
      <c r="B14" t="s">
        <v>291</v>
      </c>
      <c r="C14" t="s">
        <v>231</v>
      </c>
      <c r="D14" s="1"/>
      <c r="E14" s="1">
        <v>1</v>
      </c>
      <c r="F14" s="1"/>
      <c r="G14" s="1"/>
      <c r="H14" s="1"/>
      <c r="I14" s="19" t="s">
        <v>292</v>
      </c>
      <c r="J14" s="27" t="s">
        <v>96</v>
      </c>
      <c r="K14" t="str">
        <f ca="1">IFERROR(IF(fTbl215[[#This Row],[LT]]="H",MID(fTbl215[[#This Row],[Hierarchy]],fTbl215[[#This Row],[pipe1]]+1,fTbl215[[#This Row],[pipe2]]-fTbl215[[#This Row],[pipe1]]-1),LEFT(fTbl215[[#This Row],[Hierarchy]],FIND("|",fTbl215[[#This Row],[Hierarchy]])-1)),"")</f>
        <v>iOrders</v>
      </c>
      <c r="L14" s="1">
        <f ca="1">IF(ROW()=3,0,OFFSET(fTbl215[[#This Row],[Lev]],-1,0)+IF(OFFSET(fTbl215[[#This Row],[LT]],-1,0)="H",1,IF(fTbl215[[#This Row],[LT]]="!H",-1,0)))</f>
        <v>1</v>
      </c>
      <c r="M14">
        <f>IF(RIGHT(fTbl215[[#This Row],[valid]],4)&lt;&gt;"list",0,IFERROR(MATCH(fTbl215[[#This Row],[Context]]&amp;"|"&amp;fTbl215[[#This Row],[Field]],Ltbl[ind],0),IFERROR(MATCH("ALL|"&amp;fTbl215[[#This Row],[Field]],Ltbl[ind],0),-1)))</f>
        <v>0</v>
      </c>
      <c r="N14" t="str" cm="1">
        <f t="array" ref="N14">IF(fTbl215[[#This Row],[listlu]]&lt;1,"",IF(INDEX(Ltbl[Generic],fTbl215[[#This Row],[listlu]])="","",INDEX(Ltbl[Generic],fTbl215[[#This Row],[listlu]])))</f>
        <v/>
      </c>
      <c r="O14">
        <f>IF(AND(fTbl215[[#This Row],[listlu]],ISERROR(FIND(",",fTbl215[[#This Row],[liMatch]])),fTbl215[[#This Row],[liMatch]]&lt;&gt;""),1,0)</f>
        <v>0</v>
      </c>
      <c r="P14">
        <f>IF(AND(fTbl215[[#This Row],[LT]]="Ref",ISNA(MATCH(fTbl215[[#This Row],[Field]],rTbl[Ref],0))),1,0)</f>
        <v>0</v>
      </c>
      <c r="Q14"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14">
        <f ca="1">FIND("~",SUBSTITUTE(fTbl215[[#This Row],[Hierarchy]],"|","~",1))</f>
        <v>8</v>
      </c>
      <c r="S14" t="e">
        <f ca="1">FIND("~",SUBSTITUTE(fTbl215[[#This Row],[Hierarchy]],"|","~",2))</f>
        <v>#VALUE!</v>
      </c>
      <c r="T14" cm="1">
        <f t="array" ref="T14">IF(fTbl215[[#This Row],[listlu]]=0,0,IF(INDEX(Ltbl[Context],fTbl215[[#This Row],[listlu]],1)="ALL",1,2))</f>
        <v>0</v>
      </c>
      <c r="U14" s="29"/>
    </row>
    <row r="15" spans="1:21">
      <c r="A15" s="15" t="s">
        <v>25</v>
      </c>
      <c r="B15" t="s">
        <v>101</v>
      </c>
      <c r="D15" s="1"/>
      <c r="E15" s="1"/>
      <c r="F15" s="1"/>
      <c r="G15" s="1"/>
      <c r="H15" s="1"/>
      <c r="I15" s="19" t="s">
        <v>102</v>
      </c>
      <c r="J15" s="28"/>
      <c r="K15" t="str">
        <f ca="1">IFERROR(IF(fTbl215[[#This Row],[LT]]="H",MID(fTbl215[[#This Row],[Hierarchy]],fTbl215[[#This Row],[pipe1]]+1,fTbl215[[#This Row],[pipe2]]-fTbl215[[#This Row],[pipe1]]-1),LEFT(fTbl215[[#This Row],[Hierarchy]],FIND("|",fTbl215[[#This Row],[Hierarchy]])-1)),"")</f>
        <v>iOrders</v>
      </c>
      <c r="L15" s="1">
        <f ca="1">IF(ROW()=3,0,OFFSET(fTbl215[[#This Row],[Lev]],-1,0)+IF(OFFSET(fTbl215[[#This Row],[LT]],-1,0)="H",1,IF(fTbl215[[#This Row],[LT]]="!H",-1,0)))</f>
        <v>1</v>
      </c>
      <c r="M15">
        <f>IF(RIGHT(fTbl215[[#This Row],[valid]],4)&lt;&gt;"list",0,IFERROR(MATCH(fTbl215[[#This Row],[Context]]&amp;"|"&amp;fTbl215[[#This Row],[Field]],Ltbl[ind],0),IFERROR(MATCH("ALL|"&amp;fTbl215[[#This Row],[Field]],Ltbl[ind],0),-1)))</f>
        <v>0</v>
      </c>
      <c r="N15" t="str" cm="1">
        <f t="array" ref="N15">IF(fTbl215[[#This Row],[listlu]]&lt;1,"",IF(INDEX(Ltbl[Generic],fTbl215[[#This Row],[listlu]])="","",INDEX(Ltbl[Generic],fTbl215[[#This Row],[listlu]])))</f>
        <v/>
      </c>
      <c r="O15">
        <f>IF(AND(fTbl215[[#This Row],[listlu]],ISERROR(FIND(",",fTbl215[[#This Row],[liMatch]])),fTbl215[[#This Row],[liMatch]]&lt;&gt;""),1,0)</f>
        <v>0</v>
      </c>
      <c r="P15">
        <f>IF(AND(fTbl215[[#This Row],[LT]]="Ref",ISNA(MATCH(fTbl215[[#This Row],[Field]],rTbl[Ref],0))),1,0)</f>
        <v>0</v>
      </c>
      <c r="Q15"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15">
        <f ca="1">FIND("~",SUBSTITUTE(fTbl215[[#This Row],[Hierarchy]],"|","~",1))</f>
        <v>8</v>
      </c>
      <c r="S15" t="e">
        <f ca="1">FIND("~",SUBSTITUTE(fTbl215[[#This Row],[Hierarchy]],"|","~",2))</f>
        <v>#VALUE!</v>
      </c>
      <c r="T15" cm="1">
        <f t="array" ref="T15">IF(fTbl215[[#This Row],[listlu]]=0,0,IF(INDEX(Ltbl[Context],fTbl215[[#This Row],[listlu]],1)="ALL",1,2))</f>
        <v>0</v>
      </c>
      <c r="U15" s="29"/>
    </row>
    <row r="16" spans="1:21">
      <c r="A16" s="15" t="s">
        <v>28</v>
      </c>
      <c r="B16" t="s">
        <v>103</v>
      </c>
      <c r="C16" t="s">
        <v>30</v>
      </c>
      <c r="D16" s="1">
        <v>20</v>
      </c>
      <c r="E16" s="1">
        <v>1</v>
      </c>
      <c r="F16" s="1"/>
      <c r="G16" s="1"/>
      <c r="H16" s="1" t="s">
        <v>104</v>
      </c>
      <c r="I16" s="19" t="s">
        <v>293</v>
      </c>
      <c r="J16" s="28" t="s">
        <v>45</v>
      </c>
      <c r="K16" t="str">
        <f ca="1">IFERROR(IF(fTbl215[[#This Row],[LT]]="H",MID(fTbl215[[#This Row],[Hierarchy]],fTbl215[[#This Row],[pipe1]]+1,fTbl215[[#This Row],[pipe2]]-fTbl215[[#This Row],[pipe1]]-1),LEFT(fTbl215[[#This Row],[Hierarchy]],FIND("|",fTbl215[[#This Row],[Hierarchy]])-1)),"")</f>
        <v>iOrders</v>
      </c>
      <c r="L16" s="1">
        <f ca="1">IF(ROW()=3,0,OFFSET(fTbl215[[#This Row],[Lev]],-1,0)+IF(OFFSET(fTbl215[[#This Row],[LT]],-1,0)="H",1,IF(fTbl215[[#This Row],[LT]]="!H",-1,0)))</f>
        <v>1</v>
      </c>
      <c r="M16">
        <f>IF(RIGHT(fTbl215[[#This Row],[valid]],4)&lt;&gt;"list",0,IFERROR(MATCH(fTbl215[[#This Row],[Context]]&amp;"|"&amp;fTbl215[[#This Row],[Field]],Ltbl[ind],0),IFERROR(MATCH("ALL|"&amp;fTbl215[[#This Row],[Field]],Ltbl[ind],0),-1)))</f>
        <v>0</v>
      </c>
      <c r="N16" t="str" cm="1">
        <f t="array" ref="N16">IF(fTbl215[[#This Row],[listlu]]&lt;1,"",IF(INDEX(Ltbl[Generic],fTbl215[[#This Row],[listlu]])="","",INDEX(Ltbl[Generic],fTbl215[[#This Row],[listlu]])))</f>
        <v/>
      </c>
      <c r="O16">
        <f>IF(AND(fTbl215[[#This Row],[listlu]],ISERROR(FIND(",",fTbl215[[#This Row],[liMatch]])),fTbl215[[#This Row],[liMatch]]&lt;&gt;""),1,0)</f>
        <v>0</v>
      </c>
      <c r="P16">
        <f>IF(AND(fTbl215[[#This Row],[LT]]="Ref",ISNA(MATCH(fTbl215[[#This Row],[Field]],rTbl[Ref],0))),1,0)</f>
        <v>0</v>
      </c>
      <c r="Q16"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16">
        <f ca="1">FIND("~",SUBSTITUTE(fTbl215[[#This Row],[Hierarchy]],"|","~",1))</f>
        <v>8</v>
      </c>
      <c r="S16" t="e">
        <f ca="1">FIND("~",SUBSTITUTE(fTbl215[[#This Row],[Hierarchy]],"|","~",2))</f>
        <v>#VALUE!</v>
      </c>
      <c r="T16" cm="1">
        <f t="array" ref="T16">IF(fTbl215[[#This Row],[listlu]]=0,0,IF(INDEX(Ltbl[Context],fTbl215[[#This Row],[listlu]],1)="ALL",1,2))</f>
        <v>0</v>
      </c>
      <c r="U16" s="29"/>
    </row>
    <row r="17" spans="1:21">
      <c r="A17" s="15"/>
      <c r="B17" t="s">
        <v>181</v>
      </c>
      <c r="C17" t="s">
        <v>30</v>
      </c>
      <c r="D17" s="1">
        <v>20</v>
      </c>
      <c r="E17" s="1">
        <v>1</v>
      </c>
      <c r="F17" s="1"/>
      <c r="G17" s="1"/>
      <c r="H17" s="1"/>
      <c r="I17" s="19" t="s">
        <v>294</v>
      </c>
      <c r="J17" s="28" t="s">
        <v>295</v>
      </c>
      <c r="K17" t="str">
        <f ca="1">IFERROR(IF(fTbl215[[#This Row],[LT]]="H",MID(fTbl215[[#This Row],[Hierarchy]],fTbl215[[#This Row],[pipe1]]+1,fTbl215[[#This Row],[pipe2]]-fTbl215[[#This Row],[pipe1]]-1),LEFT(fTbl215[[#This Row],[Hierarchy]],FIND("|",fTbl215[[#This Row],[Hierarchy]])-1)),"")</f>
        <v>iOrders</v>
      </c>
      <c r="L17" s="1">
        <f ca="1">IF(ROW()=3,0,OFFSET(fTbl215[[#This Row],[Lev]],-1,0)+IF(OFFSET(fTbl215[[#This Row],[LT]],-1,0)="H",1,IF(fTbl215[[#This Row],[LT]]="!H",-1,0)))</f>
        <v>1</v>
      </c>
      <c r="M17">
        <f>IF(RIGHT(fTbl215[[#This Row],[valid]],4)&lt;&gt;"list",0,IFERROR(MATCH(fTbl215[[#This Row],[Context]]&amp;"|"&amp;fTbl215[[#This Row],[Field]],Ltbl[ind],0),IFERROR(MATCH("ALL|"&amp;fTbl215[[#This Row],[Field]],Ltbl[ind],0),-1)))</f>
        <v>0</v>
      </c>
      <c r="N17" t="str" cm="1">
        <f t="array" ref="N17">IF(fTbl215[[#This Row],[listlu]]&lt;1,"",IF(INDEX(Ltbl[Generic],fTbl215[[#This Row],[listlu]])="","",INDEX(Ltbl[Generic],fTbl215[[#This Row],[listlu]])))</f>
        <v/>
      </c>
      <c r="O17">
        <f>IF(AND(fTbl215[[#This Row],[listlu]],ISERROR(FIND(",",fTbl215[[#This Row],[liMatch]])),fTbl215[[#This Row],[liMatch]]&lt;&gt;""),1,0)</f>
        <v>0</v>
      </c>
      <c r="P17">
        <f>IF(AND(fTbl215[[#This Row],[LT]]="Ref",ISNA(MATCH(fTbl215[[#This Row],[Field]],rTbl[Ref],0))),1,0)</f>
        <v>0</v>
      </c>
      <c r="Q17"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17">
        <f ca="1">FIND("~",SUBSTITUTE(fTbl215[[#This Row],[Hierarchy]],"|","~",1))</f>
        <v>8</v>
      </c>
      <c r="S17" t="e">
        <f ca="1">FIND("~",SUBSTITUTE(fTbl215[[#This Row],[Hierarchy]],"|","~",2))</f>
        <v>#VALUE!</v>
      </c>
      <c r="T17" cm="1">
        <f t="array" ref="T17">IF(fTbl215[[#This Row],[listlu]]=0,0,IF(INDEX(Ltbl[Context],fTbl215[[#This Row],[listlu]],1)="ALL",1,2))</f>
        <v>0</v>
      </c>
      <c r="U17" s="29"/>
    </row>
    <row r="18" spans="1:21">
      <c r="A18" s="15" t="s">
        <v>28</v>
      </c>
      <c r="B18" t="s">
        <v>107</v>
      </c>
      <c r="C18" t="s">
        <v>30</v>
      </c>
      <c r="D18" s="1">
        <v>35</v>
      </c>
      <c r="E18" s="1">
        <v>0</v>
      </c>
      <c r="F18" s="1"/>
      <c r="G18" s="1"/>
      <c r="H18" s="1"/>
      <c r="I18" s="19" t="s">
        <v>108</v>
      </c>
      <c r="J18" s="28" t="s">
        <v>109</v>
      </c>
      <c r="K18" t="str">
        <f ca="1">IFERROR(IF(fTbl215[[#This Row],[LT]]="H",MID(fTbl215[[#This Row],[Hierarchy]],fTbl215[[#This Row],[pipe1]]+1,fTbl215[[#This Row],[pipe2]]-fTbl215[[#This Row],[pipe1]]-1),LEFT(fTbl215[[#This Row],[Hierarchy]],FIND("|",fTbl215[[#This Row],[Hierarchy]])-1)),"")</f>
        <v>iOrders</v>
      </c>
      <c r="L18" s="1">
        <f ca="1">IF(ROW()=3,0,OFFSET(fTbl215[[#This Row],[Lev]],-1,0)+IF(OFFSET(fTbl215[[#This Row],[LT]],-1,0)="H",1,IF(fTbl215[[#This Row],[LT]]="!H",-1,0)))</f>
        <v>1</v>
      </c>
      <c r="M18">
        <f>IF(RIGHT(fTbl215[[#This Row],[valid]],4)&lt;&gt;"list",0,IFERROR(MATCH(fTbl215[[#This Row],[Context]]&amp;"|"&amp;fTbl215[[#This Row],[Field]],Ltbl[ind],0),IFERROR(MATCH("ALL|"&amp;fTbl215[[#This Row],[Field]],Ltbl[ind],0),-1)))</f>
        <v>0</v>
      </c>
      <c r="N18" t="str" cm="1">
        <f t="array" ref="N18">IF(fTbl215[[#This Row],[listlu]]&lt;1,"",IF(INDEX(Ltbl[Generic],fTbl215[[#This Row],[listlu]])="","",INDEX(Ltbl[Generic],fTbl215[[#This Row],[listlu]])))</f>
        <v/>
      </c>
      <c r="O18">
        <f>IF(AND(fTbl215[[#This Row],[listlu]],ISERROR(FIND(",",fTbl215[[#This Row],[liMatch]])),fTbl215[[#This Row],[liMatch]]&lt;&gt;""),1,0)</f>
        <v>0</v>
      </c>
      <c r="P18">
        <f>IF(AND(fTbl215[[#This Row],[LT]]="Ref",ISNA(MATCH(fTbl215[[#This Row],[Field]],rTbl[Ref],0))),1,0)</f>
        <v>0</v>
      </c>
      <c r="Q18"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18">
        <f ca="1">FIND("~",SUBSTITUTE(fTbl215[[#This Row],[Hierarchy]],"|","~",1))</f>
        <v>8</v>
      </c>
      <c r="S18" t="e">
        <f ca="1">FIND("~",SUBSTITUTE(fTbl215[[#This Row],[Hierarchy]],"|","~",2))</f>
        <v>#VALUE!</v>
      </c>
      <c r="T18" cm="1">
        <f t="array" ref="T18">IF(fTbl215[[#This Row],[listlu]]=0,0,IF(INDEX(Ltbl[Context],fTbl215[[#This Row],[listlu]],1)="ALL",1,2))</f>
        <v>0</v>
      </c>
      <c r="U18" s="29"/>
    </row>
    <row r="19" spans="1:21">
      <c r="A19" s="15" t="s">
        <v>28</v>
      </c>
      <c r="B19" t="s">
        <v>111</v>
      </c>
      <c r="C19" t="s">
        <v>30</v>
      </c>
      <c r="D19" s="1">
        <v>35</v>
      </c>
      <c r="E19" s="1">
        <v>0</v>
      </c>
      <c r="F19" s="1"/>
      <c r="G19" s="1"/>
      <c r="H19" s="1"/>
      <c r="I19" s="19" t="s">
        <v>108</v>
      </c>
      <c r="J19" s="28" t="s">
        <v>112</v>
      </c>
      <c r="K19" t="str">
        <f ca="1">IFERROR(IF(fTbl215[[#This Row],[LT]]="H",MID(fTbl215[[#This Row],[Hierarchy]],fTbl215[[#This Row],[pipe1]]+1,fTbl215[[#This Row],[pipe2]]-fTbl215[[#This Row],[pipe1]]-1),LEFT(fTbl215[[#This Row],[Hierarchy]],FIND("|",fTbl215[[#This Row],[Hierarchy]])-1)),"")</f>
        <v>iOrders</v>
      </c>
      <c r="L19" s="1">
        <f ca="1">IF(ROW()=3,0,OFFSET(fTbl215[[#This Row],[Lev]],-1,0)+IF(OFFSET(fTbl215[[#This Row],[LT]],-1,0)="H",1,IF(fTbl215[[#This Row],[LT]]="!H",-1,0)))</f>
        <v>1</v>
      </c>
      <c r="M19">
        <f>IF(RIGHT(fTbl215[[#This Row],[valid]],4)&lt;&gt;"list",0,IFERROR(MATCH(fTbl215[[#This Row],[Context]]&amp;"|"&amp;fTbl215[[#This Row],[Field]],Ltbl[ind],0),IFERROR(MATCH("ALL|"&amp;fTbl215[[#This Row],[Field]],Ltbl[ind],0),-1)))</f>
        <v>0</v>
      </c>
      <c r="N19" t="str" cm="1">
        <f t="array" ref="N19">IF(fTbl215[[#This Row],[listlu]]&lt;1,"",IF(INDEX(Ltbl[Generic],fTbl215[[#This Row],[listlu]])="","",INDEX(Ltbl[Generic],fTbl215[[#This Row],[listlu]])))</f>
        <v/>
      </c>
      <c r="O19">
        <f>IF(AND(fTbl215[[#This Row],[listlu]],ISERROR(FIND(",",fTbl215[[#This Row],[liMatch]])),fTbl215[[#This Row],[liMatch]]&lt;&gt;""),1,0)</f>
        <v>0</v>
      </c>
      <c r="P19">
        <f>IF(AND(fTbl215[[#This Row],[LT]]="Ref",ISNA(MATCH(fTbl215[[#This Row],[Field]],rTbl[Ref],0))),1,0)</f>
        <v>0</v>
      </c>
      <c r="Q19"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19">
        <f ca="1">FIND("~",SUBSTITUTE(fTbl215[[#This Row],[Hierarchy]],"|","~",1))</f>
        <v>8</v>
      </c>
      <c r="S19" t="e">
        <f ca="1">FIND("~",SUBSTITUTE(fTbl215[[#This Row],[Hierarchy]],"|","~",2))</f>
        <v>#VALUE!</v>
      </c>
      <c r="T19" cm="1">
        <f t="array" ref="T19">IF(fTbl215[[#This Row],[listlu]]=0,0,IF(INDEX(Ltbl[Context],fTbl215[[#This Row],[listlu]],1)="ALL",1,2))</f>
        <v>0</v>
      </c>
      <c r="U19" s="29"/>
    </row>
    <row r="20" spans="1:21">
      <c r="A20" s="15" t="s">
        <v>28</v>
      </c>
      <c r="B20" t="s">
        <v>114</v>
      </c>
      <c r="C20" t="s">
        <v>30</v>
      </c>
      <c r="D20" s="1">
        <v>35</v>
      </c>
      <c r="E20" s="1">
        <v>0</v>
      </c>
      <c r="F20" s="1"/>
      <c r="G20" s="1"/>
      <c r="H20" s="1"/>
      <c r="I20" s="19" t="s">
        <v>115</v>
      </c>
      <c r="J20" s="28" t="s">
        <v>296</v>
      </c>
      <c r="K20" t="str">
        <f ca="1">IFERROR(IF(fTbl215[[#This Row],[LT]]="H",MID(fTbl215[[#This Row],[Hierarchy]],fTbl215[[#This Row],[pipe1]]+1,fTbl215[[#This Row],[pipe2]]-fTbl215[[#This Row],[pipe1]]-1),LEFT(fTbl215[[#This Row],[Hierarchy]],FIND("|",fTbl215[[#This Row],[Hierarchy]])-1)),"")</f>
        <v>iOrders</v>
      </c>
      <c r="L20" s="1">
        <f ca="1">IF(ROW()=3,0,OFFSET(fTbl215[[#This Row],[Lev]],-1,0)+IF(OFFSET(fTbl215[[#This Row],[LT]],-1,0)="H",1,IF(fTbl215[[#This Row],[LT]]="!H",-1,0)))</f>
        <v>1</v>
      </c>
      <c r="M20">
        <f>IF(RIGHT(fTbl215[[#This Row],[valid]],4)&lt;&gt;"list",0,IFERROR(MATCH(fTbl215[[#This Row],[Context]]&amp;"|"&amp;fTbl215[[#This Row],[Field]],Ltbl[ind],0),IFERROR(MATCH("ALL|"&amp;fTbl215[[#This Row],[Field]],Ltbl[ind],0),-1)))</f>
        <v>0</v>
      </c>
      <c r="N20" t="str" cm="1">
        <f t="array" ref="N20">IF(fTbl215[[#This Row],[listlu]]&lt;1,"",IF(INDEX(Ltbl[Generic],fTbl215[[#This Row],[listlu]])="","",INDEX(Ltbl[Generic],fTbl215[[#This Row],[listlu]])))</f>
        <v/>
      </c>
      <c r="O20">
        <f>IF(AND(fTbl215[[#This Row],[listlu]],ISERROR(FIND(",",fTbl215[[#This Row],[liMatch]])),fTbl215[[#This Row],[liMatch]]&lt;&gt;""),1,0)</f>
        <v>0</v>
      </c>
      <c r="P20">
        <f>IF(AND(fTbl215[[#This Row],[LT]]="Ref",ISNA(MATCH(fTbl215[[#This Row],[Field]],rTbl[Ref],0))),1,0)</f>
        <v>0</v>
      </c>
      <c r="Q20"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20">
        <f ca="1">FIND("~",SUBSTITUTE(fTbl215[[#This Row],[Hierarchy]],"|","~",1))</f>
        <v>8</v>
      </c>
      <c r="S20" t="e">
        <f ca="1">FIND("~",SUBSTITUTE(fTbl215[[#This Row],[Hierarchy]],"|","~",2))</f>
        <v>#VALUE!</v>
      </c>
      <c r="T20" cm="1">
        <f t="array" ref="T20">IF(fTbl215[[#This Row],[listlu]]=0,0,IF(INDEX(Ltbl[Context],fTbl215[[#This Row],[listlu]],1)="ALL",1,2))</f>
        <v>0</v>
      </c>
      <c r="U20" s="29"/>
    </row>
    <row r="21" spans="1:21">
      <c r="A21" s="15" t="s">
        <v>28</v>
      </c>
      <c r="B21" t="s">
        <v>117</v>
      </c>
      <c r="C21" t="s">
        <v>30</v>
      </c>
      <c r="D21" s="1">
        <v>250</v>
      </c>
      <c r="E21" s="1">
        <v>0</v>
      </c>
      <c r="F21" s="1"/>
      <c r="G21" s="1"/>
      <c r="H21" s="1"/>
      <c r="I21" s="19" t="s">
        <v>297</v>
      </c>
      <c r="J21" s="28" t="s">
        <v>298</v>
      </c>
      <c r="K21" t="str">
        <f ca="1">IFERROR(IF(fTbl215[[#This Row],[LT]]="H",MID(fTbl215[[#This Row],[Hierarchy]],fTbl215[[#This Row],[pipe1]]+1,fTbl215[[#This Row],[pipe2]]-fTbl215[[#This Row],[pipe1]]-1),LEFT(fTbl215[[#This Row],[Hierarchy]],FIND("|",fTbl215[[#This Row],[Hierarchy]])-1)),"")</f>
        <v>iOrders</v>
      </c>
      <c r="L21" s="1">
        <f ca="1">IF(ROW()=3,0,OFFSET(fTbl215[[#This Row],[Lev]],-1,0)+IF(OFFSET(fTbl215[[#This Row],[LT]],-1,0)="H",1,IF(fTbl215[[#This Row],[LT]]="!H",-1,0)))</f>
        <v>1</v>
      </c>
      <c r="M21">
        <f>IF(RIGHT(fTbl215[[#This Row],[valid]],4)&lt;&gt;"list",0,IFERROR(MATCH(fTbl215[[#This Row],[Context]]&amp;"|"&amp;fTbl215[[#This Row],[Field]],Ltbl[ind],0),IFERROR(MATCH("ALL|"&amp;fTbl215[[#This Row],[Field]],Ltbl[ind],0),-1)))</f>
        <v>0</v>
      </c>
      <c r="N21" t="str" cm="1">
        <f t="array" ref="N21">IF(fTbl215[[#This Row],[listlu]]&lt;1,"",IF(INDEX(Ltbl[Generic],fTbl215[[#This Row],[listlu]])="","",INDEX(Ltbl[Generic],fTbl215[[#This Row],[listlu]])))</f>
        <v/>
      </c>
      <c r="O21">
        <f>IF(AND(fTbl215[[#This Row],[listlu]],ISERROR(FIND(",",fTbl215[[#This Row],[liMatch]])),fTbl215[[#This Row],[liMatch]]&lt;&gt;""),1,0)</f>
        <v>0</v>
      </c>
      <c r="P21">
        <f>IF(AND(fTbl215[[#This Row],[LT]]="Ref",ISNA(MATCH(fTbl215[[#This Row],[Field]],rTbl[Ref],0))),1,0)</f>
        <v>0</v>
      </c>
      <c r="Q21"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21">
        <f ca="1">FIND("~",SUBSTITUTE(fTbl215[[#This Row],[Hierarchy]],"|","~",1))</f>
        <v>8</v>
      </c>
      <c r="S21" t="e">
        <f ca="1">FIND("~",SUBSTITUTE(fTbl215[[#This Row],[Hierarchy]],"|","~",2))</f>
        <v>#VALUE!</v>
      </c>
      <c r="T21" cm="1">
        <f t="array" ref="T21">IF(fTbl215[[#This Row],[listlu]]=0,0,IF(INDEX(Ltbl[Context],fTbl215[[#This Row],[listlu]],1)="ALL",1,2))</f>
        <v>0</v>
      </c>
      <c r="U21" s="29"/>
    </row>
    <row r="22" spans="1:21">
      <c r="A22" s="15" t="s">
        <v>25</v>
      </c>
      <c r="B22" t="s">
        <v>299</v>
      </c>
      <c r="D22" s="1"/>
      <c r="E22" s="1"/>
      <c r="F22" s="1"/>
      <c r="G22" s="1"/>
      <c r="H22" s="1"/>
      <c r="I22" s="19" t="s">
        <v>235</v>
      </c>
      <c r="J22" s="28"/>
      <c r="K22" t="str">
        <f ca="1">IFERROR(IF(fTbl215[[#This Row],[LT]]="H",MID(fTbl215[[#This Row],[Hierarchy]],fTbl215[[#This Row],[pipe1]]+1,fTbl215[[#This Row],[pipe2]]-fTbl215[[#This Row],[pipe1]]-1),LEFT(fTbl215[[#This Row],[Hierarchy]],FIND("|",fTbl215[[#This Row],[Hierarchy]])-1)),"")</f>
        <v>iOrders</v>
      </c>
      <c r="L22" s="1">
        <f ca="1">IF(ROW()=3,0,OFFSET(fTbl215[[#This Row],[Lev]],-1,0)+IF(OFFSET(fTbl215[[#This Row],[LT]],-1,0)="H",1,IF(fTbl215[[#This Row],[LT]]="!H",-1,0)))</f>
        <v>1</v>
      </c>
      <c r="M22">
        <f>IF(RIGHT(fTbl215[[#This Row],[valid]],4)&lt;&gt;"list",0,IFERROR(MATCH(fTbl215[[#This Row],[Context]]&amp;"|"&amp;fTbl215[[#This Row],[Field]],Ltbl[ind],0),IFERROR(MATCH("ALL|"&amp;fTbl215[[#This Row],[Field]],Ltbl[ind],0),-1)))</f>
        <v>0</v>
      </c>
      <c r="N22" t="str" cm="1">
        <f t="array" ref="N22">IF(fTbl215[[#This Row],[listlu]]&lt;1,"",IF(INDEX(Ltbl[Generic],fTbl215[[#This Row],[listlu]])="","",INDEX(Ltbl[Generic],fTbl215[[#This Row],[listlu]])))</f>
        <v/>
      </c>
      <c r="O22">
        <f>IF(AND(fTbl215[[#This Row],[listlu]],ISERROR(FIND(",",fTbl215[[#This Row],[liMatch]])),fTbl215[[#This Row],[liMatch]]&lt;&gt;""),1,0)</f>
        <v>0</v>
      </c>
      <c r="P22">
        <f>IF(AND(fTbl215[[#This Row],[LT]]="Ref",ISNA(MATCH(fTbl215[[#This Row],[Field]],rTbl[Ref],0))),1,0)</f>
        <v>0</v>
      </c>
      <c r="Q22"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22">
        <f ca="1">FIND("~",SUBSTITUTE(fTbl215[[#This Row],[Hierarchy]],"|","~",1))</f>
        <v>8</v>
      </c>
      <c r="S22" t="e">
        <f ca="1">FIND("~",SUBSTITUTE(fTbl215[[#This Row],[Hierarchy]],"|","~",2))</f>
        <v>#VALUE!</v>
      </c>
      <c r="T22" cm="1">
        <f t="array" ref="T22">IF(fTbl215[[#This Row],[listlu]]=0,0,IF(INDEX(Ltbl[Context],fTbl215[[#This Row],[listlu]],1)="ALL",1,2))</f>
        <v>0</v>
      </c>
      <c r="U22" s="29"/>
    </row>
    <row r="23" spans="1:21">
      <c r="A23" s="15" t="s">
        <v>28</v>
      </c>
      <c r="B23" t="s">
        <v>241</v>
      </c>
      <c r="C23" t="s">
        <v>30</v>
      </c>
      <c r="D23" s="1">
        <v>10</v>
      </c>
      <c r="E23" s="1"/>
      <c r="F23" s="1"/>
      <c r="G23" s="1"/>
      <c r="H23" s="1"/>
      <c r="I23" s="19" t="s">
        <v>300</v>
      </c>
      <c r="J23" s="28" t="s">
        <v>301</v>
      </c>
      <c r="K23" t="str">
        <f ca="1">IFERROR(IF(fTbl215[[#This Row],[LT]]="H",MID(fTbl215[[#This Row],[Hierarchy]],fTbl215[[#This Row],[pipe1]]+1,fTbl215[[#This Row],[pipe2]]-fTbl215[[#This Row],[pipe1]]-1),LEFT(fTbl215[[#This Row],[Hierarchy]],FIND("|",fTbl215[[#This Row],[Hierarchy]])-1)),"")</f>
        <v>iOrders</v>
      </c>
      <c r="L23" s="1">
        <f ca="1">IF(ROW()=3,0,OFFSET(fTbl215[[#This Row],[Lev]],-1,0)+IF(OFFSET(fTbl215[[#This Row],[LT]],-1,0)="H",1,IF(fTbl215[[#This Row],[LT]]="!H",-1,0)))</f>
        <v>1</v>
      </c>
      <c r="M23">
        <f>IF(RIGHT(fTbl215[[#This Row],[valid]],4)&lt;&gt;"list",0,IFERROR(MATCH(fTbl215[[#This Row],[Context]]&amp;"|"&amp;fTbl215[[#This Row],[Field]],Ltbl[ind],0),IFERROR(MATCH("ALL|"&amp;fTbl215[[#This Row],[Field]],Ltbl[ind],0),-1)))</f>
        <v>0</v>
      </c>
      <c r="N23" t="str" cm="1">
        <f t="array" ref="N23">IF(fTbl215[[#This Row],[listlu]]&lt;1,"",IF(INDEX(Ltbl[Generic],fTbl215[[#This Row],[listlu]])="","",INDEX(Ltbl[Generic],fTbl215[[#This Row],[listlu]])))</f>
        <v/>
      </c>
      <c r="O23">
        <f>IF(AND(fTbl215[[#This Row],[listlu]],ISERROR(FIND(",",fTbl215[[#This Row],[liMatch]])),fTbl215[[#This Row],[liMatch]]&lt;&gt;""),1,0)</f>
        <v>0</v>
      </c>
      <c r="P23">
        <f>IF(AND(fTbl215[[#This Row],[LT]]="Ref",ISNA(MATCH(fTbl215[[#This Row],[Field]],rTbl[Ref],0))),1,0)</f>
        <v>0</v>
      </c>
      <c r="Q23"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23">
        <f ca="1">FIND("~",SUBSTITUTE(fTbl215[[#This Row],[Hierarchy]],"|","~",1))</f>
        <v>8</v>
      </c>
      <c r="S23" t="e">
        <f ca="1">FIND("~",SUBSTITUTE(fTbl215[[#This Row],[Hierarchy]],"|","~",2))</f>
        <v>#VALUE!</v>
      </c>
      <c r="T23" cm="1">
        <f t="array" ref="T23">IF(fTbl215[[#This Row],[listlu]]=0,0,IF(INDEX(Ltbl[Context],fTbl215[[#This Row],[listlu]],1)="ALL",1,2))</f>
        <v>0</v>
      </c>
      <c r="U23" s="29"/>
    </row>
    <row r="24" spans="1:21">
      <c r="A24" s="15" t="s">
        <v>28</v>
      </c>
      <c r="B24" t="s">
        <v>188</v>
      </c>
      <c r="C24" t="s">
        <v>30</v>
      </c>
      <c r="D24" s="1">
        <v>10</v>
      </c>
      <c r="E24" s="1"/>
      <c r="F24" s="1"/>
      <c r="G24" s="1"/>
      <c r="H24" s="1"/>
      <c r="I24" s="19" t="s">
        <v>302</v>
      </c>
      <c r="J24" s="28" t="s">
        <v>303</v>
      </c>
      <c r="K24" t="str">
        <f ca="1">IFERROR(IF(fTbl215[[#This Row],[LT]]="H",MID(fTbl215[[#This Row],[Hierarchy]],fTbl215[[#This Row],[pipe1]]+1,fTbl215[[#This Row],[pipe2]]-fTbl215[[#This Row],[pipe1]]-1),LEFT(fTbl215[[#This Row],[Hierarchy]],FIND("|",fTbl215[[#This Row],[Hierarchy]])-1)),"")</f>
        <v>iOrders</v>
      </c>
      <c r="L24" s="1">
        <f ca="1">IF(ROW()=3,0,OFFSET(fTbl215[[#This Row],[Lev]],-1,0)+IF(OFFSET(fTbl215[[#This Row],[LT]],-1,0)="H",1,IF(fTbl215[[#This Row],[LT]]="!H",-1,0)))</f>
        <v>1</v>
      </c>
      <c r="M24">
        <f>IF(RIGHT(fTbl215[[#This Row],[valid]],4)&lt;&gt;"list",0,IFERROR(MATCH(fTbl215[[#This Row],[Context]]&amp;"|"&amp;fTbl215[[#This Row],[Field]],Ltbl[ind],0),IFERROR(MATCH("ALL|"&amp;fTbl215[[#This Row],[Field]],Ltbl[ind],0),-1)))</f>
        <v>0</v>
      </c>
      <c r="N24" t="str" cm="1">
        <f t="array" ref="N24">IF(fTbl215[[#This Row],[listlu]]&lt;1,"",IF(INDEX(Ltbl[Generic],fTbl215[[#This Row],[listlu]])="","",INDEX(Ltbl[Generic],fTbl215[[#This Row],[listlu]])))</f>
        <v/>
      </c>
      <c r="O24">
        <f>IF(AND(fTbl215[[#This Row],[listlu]],ISERROR(FIND(",",fTbl215[[#This Row],[liMatch]])),fTbl215[[#This Row],[liMatch]]&lt;&gt;""),1,0)</f>
        <v>0</v>
      </c>
      <c r="P24">
        <f>IF(AND(fTbl215[[#This Row],[LT]]="Ref",ISNA(MATCH(fTbl215[[#This Row],[Field]],rTbl[Ref],0))),1,0)</f>
        <v>0</v>
      </c>
      <c r="Q24"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24">
        <f ca="1">FIND("~",SUBSTITUTE(fTbl215[[#This Row],[Hierarchy]],"|","~",1))</f>
        <v>8</v>
      </c>
      <c r="S24" t="e">
        <f ca="1">FIND("~",SUBSTITUTE(fTbl215[[#This Row],[Hierarchy]],"|","~",2))</f>
        <v>#VALUE!</v>
      </c>
      <c r="T24" cm="1">
        <f t="array" ref="T24">IF(fTbl215[[#This Row],[listlu]]=0,0,IF(INDEX(Ltbl[Context],fTbl215[[#This Row],[listlu]],1)="ALL",1,2))</f>
        <v>0</v>
      </c>
      <c r="U24" s="29"/>
    </row>
    <row r="25" spans="1:21">
      <c r="A25" s="15" t="s">
        <v>28</v>
      </c>
      <c r="B25" t="s">
        <v>304</v>
      </c>
      <c r="C25" t="s">
        <v>84</v>
      </c>
      <c r="D25" s="1"/>
      <c r="E25" s="1">
        <v>0</v>
      </c>
      <c r="F25" s="1"/>
      <c r="G25" s="1"/>
      <c r="H25" s="1"/>
      <c r="I25" s="19" t="s">
        <v>305</v>
      </c>
      <c r="J25" s="28" t="s">
        <v>86</v>
      </c>
      <c r="K25" t="str">
        <f ca="1">IFERROR(IF(fTbl215[[#This Row],[LT]]="H",MID(fTbl215[[#This Row],[Hierarchy]],fTbl215[[#This Row],[pipe1]]+1,fTbl215[[#This Row],[pipe2]]-fTbl215[[#This Row],[pipe1]]-1),LEFT(fTbl215[[#This Row],[Hierarchy]],FIND("|",fTbl215[[#This Row],[Hierarchy]])-1)),"")</f>
        <v>iOrders</v>
      </c>
      <c r="L25" s="1">
        <f ca="1">IF(ROW()=3,0,OFFSET(fTbl215[[#This Row],[Lev]],-1,0)+IF(OFFSET(fTbl215[[#This Row],[LT]],-1,0)="H",1,IF(fTbl215[[#This Row],[LT]]="!H",-1,0)))</f>
        <v>1</v>
      </c>
      <c r="M25">
        <f>IF(RIGHT(fTbl215[[#This Row],[valid]],4)&lt;&gt;"list",0,IFERROR(MATCH(fTbl215[[#This Row],[Context]]&amp;"|"&amp;fTbl215[[#This Row],[Field]],Ltbl[ind],0),IFERROR(MATCH("ALL|"&amp;fTbl215[[#This Row],[Field]],Ltbl[ind],0),-1)))</f>
        <v>0</v>
      </c>
      <c r="N25" t="str" cm="1">
        <f t="array" ref="N25">IF(fTbl215[[#This Row],[listlu]]&lt;1,"",IF(INDEX(Ltbl[Generic],fTbl215[[#This Row],[listlu]])="","",INDEX(Ltbl[Generic],fTbl215[[#This Row],[listlu]])))</f>
        <v/>
      </c>
      <c r="O25">
        <f>IF(AND(fTbl215[[#This Row],[listlu]],ISERROR(FIND(",",fTbl215[[#This Row],[liMatch]])),fTbl215[[#This Row],[liMatch]]&lt;&gt;""),1,0)</f>
        <v>0</v>
      </c>
      <c r="P25">
        <f>IF(AND(fTbl215[[#This Row],[LT]]="Ref",ISNA(MATCH(fTbl215[[#This Row],[Field]],rTbl[Ref],0))),1,0)</f>
        <v>0</v>
      </c>
      <c r="Q25"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25">
        <f ca="1">FIND("~",SUBSTITUTE(fTbl215[[#This Row],[Hierarchy]],"|","~",1))</f>
        <v>8</v>
      </c>
      <c r="S25" t="e">
        <f ca="1">FIND("~",SUBSTITUTE(fTbl215[[#This Row],[Hierarchy]],"|","~",2))</f>
        <v>#VALUE!</v>
      </c>
      <c r="T25" cm="1">
        <f t="array" ref="T25">IF(fTbl215[[#This Row],[listlu]]=0,0,IF(INDEX(Ltbl[Context],fTbl215[[#This Row],[listlu]],1)="ALL",1,2))</f>
        <v>0</v>
      </c>
      <c r="U25" s="29"/>
    </row>
    <row r="26" spans="1:21">
      <c r="A26" s="15" t="s">
        <v>28</v>
      </c>
      <c r="B26" t="s">
        <v>247</v>
      </c>
      <c r="C26" t="s">
        <v>30</v>
      </c>
      <c r="D26" s="1">
        <v>50</v>
      </c>
      <c r="E26" s="1"/>
      <c r="F26" s="1"/>
      <c r="G26" s="1"/>
      <c r="H26" s="1"/>
      <c r="I26" s="19" t="s">
        <v>306</v>
      </c>
      <c r="J26" s="28" t="s">
        <v>307</v>
      </c>
      <c r="K26" t="str">
        <f ca="1">IFERROR(IF(fTbl215[[#This Row],[LT]]="H",MID(fTbl215[[#This Row],[Hierarchy]],fTbl215[[#This Row],[pipe1]]+1,fTbl215[[#This Row],[pipe2]]-fTbl215[[#This Row],[pipe1]]-1),LEFT(fTbl215[[#This Row],[Hierarchy]],FIND("|",fTbl215[[#This Row],[Hierarchy]])-1)),"")</f>
        <v>iOrders</v>
      </c>
      <c r="L26" s="1">
        <f ca="1">IF(ROW()=3,0,OFFSET(fTbl215[[#This Row],[Lev]],-1,0)+IF(OFFSET(fTbl215[[#This Row],[LT]],-1,0)="H",1,IF(fTbl215[[#This Row],[LT]]="!H",-1,0)))</f>
        <v>1</v>
      </c>
      <c r="M26">
        <f>IF(RIGHT(fTbl215[[#This Row],[valid]],4)&lt;&gt;"list",0,IFERROR(MATCH(fTbl215[[#This Row],[Context]]&amp;"|"&amp;fTbl215[[#This Row],[Field]],Ltbl[ind],0),IFERROR(MATCH("ALL|"&amp;fTbl215[[#This Row],[Field]],Ltbl[ind],0),-1)))</f>
        <v>0</v>
      </c>
      <c r="N26" t="str" cm="1">
        <f t="array" ref="N26">IF(fTbl215[[#This Row],[listlu]]&lt;1,"",IF(INDEX(Ltbl[Generic],fTbl215[[#This Row],[listlu]])="","",INDEX(Ltbl[Generic],fTbl215[[#This Row],[listlu]])))</f>
        <v/>
      </c>
      <c r="O26">
        <f>IF(AND(fTbl215[[#This Row],[listlu]],ISERROR(FIND(",",fTbl215[[#This Row],[liMatch]])),fTbl215[[#This Row],[liMatch]]&lt;&gt;""),1,0)</f>
        <v>0</v>
      </c>
      <c r="P26">
        <f>IF(AND(fTbl215[[#This Row],[LT]]="Ref",ISNA(MATCH(fTbl215[[#This Row],[Field]],rTbl[Ref],0))),1,0)</f>
        <v>0</v>
      </c>
      <c r="Q26"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26">
        <f ca="1">FIND("~",SUBSTITUTE(fTbl215[[#This Row],[Hierarchy]],"|","~",1))</f>
        <v>8</v>
      </c>
      <c r="S26" t="e">
        <f ca="1">FIND("~",SUBSTITUTE(fTbl215[[#This Row],[Hierarchy]],"|","~",2))</f>
        <v>#VALUE!</v>
      </c>
      <c r="T26" cm="1">
        <f t="array" ref="T26">IF(fTbl215[[#This Row],[listlu]]=0,0,IF(INDEX(Ltbl[Context],fTbl215[[#This Row],[listlu]],1)="ALL",1,2))</f>
        <v>0</v>
      </c>
      <c r="U26" s="29"/>
    </row>
    <row r="27" spans="1:21">
      <c r="A27" s="15" t="s">
        <v>28</v>
      </c>
      <c r="B27" t="s">
        <v>72</v>
      </c>
      <c r="C27" t="s">
        <v>30</v>
      </c>
      <c r="D27" s="1">
        <v>20</v>
      </c>
      <c r="E27" s="1"/>
      <c r="F27" s="1"/>
      <c r="G27" s="1"/>
      <c r="H27" s="1"/>
      <c r="I27" s="19" t="s">
        <v>308</v>
      </c>
      <c r="J27" s="28" t="s">
        <v>309</v>
      </c>
      <c r="K27" t="str">
        <f ca="1">IFERROR(IF(fTbl215[[#This Row],[LT]]="H",MID(fTbl215[[#This Row],[Hierarchy]],fTbl215[[#This Row],[pipe1]]+1,fTbl215[[#This Row],[pipe2]]-fTbl215[[#This Row],[pipe1]]-1),LEFT(fTbl215[[#This Row],[Hierarchy]],FIND("|",fTbl215[[#This Row],[Hierarchy]])-1)),"")</f>
        <v>iOrders</v>
      </c>
      <c r="L27" s="1">
        <f ca="1">IF(ROW()=3,0,OFFSET(fTbl215[[#This Row],[Lev]],-1,0)+IF(OFFSET(fTbl215[[#This Row],[LT]],-1,0)="H",1,IF(fTbl215[[#This Row],[LT]]="!H",-1,0)))</f>
        <v>1</v>
      </c>
      <c r="M27">
        <f>IF(RIGHT(fTbl215[[#This Row],[valid]],4)&lt;&gt;"list",0,IFERROR(MATCH(fTbl215[[#This Row],[Context]]&amp;"|"&amp;fTbl215[[#This Row],[Field]],Ltbl[ind],0),IFERROR(MATCH("ALL|"&amp;fTbl215[[#This Row],[Field]],Ltbl[ind],0),-1)))</f>
        <v>0</v>
      </c>
      <c r="N27" t="str" cm="1">
        <f t="array" ref="N27">IF(fTbl215[[#This Row],[listlu]]&lt;1,"",IF(INDEX(Ltbl[Generic],fTbl215[[#This Row],[listlu]])="","",INDEX(Ltbl[Generic],fTbl215[[#This Row],[listlu]])))</f>
        <v/>
      </c>
      <c r="O27">
        <f>IF(AND(fTbl215[[#This Row],[listlu]],ISERROR(FIND(",",fTbl215[[#This Row],[liMatch]])),fTbl215[[#This Row],[liMatch]]&lt;&gt;""),1,0)</f>
        <v>0</v>
      </c>
      <c r="P27">
        <f>IF(AND(fTbl215[[#This Row],[LT]]="Ref",ISNA(MATCH(fTbl215[[#This Row],[Field]],rTbl[Ref],0))),1,0)</f>
        <v>0</v>
      </c>
      <c r="Q27"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27">
        <f ca="1">FIND("~",SUBSTITUTE(fTbl215[[#This Row],[Hierarchy]],"|","~",1))</f>
        <v>8</v>
      </c>
      <c r="S27" t="e">
        <f ca="1">FIND("~",SUBSTITUTE(fTbl215[[#This Row],[Hierarchy]],"|","~",2))</f>
        <v>#VALUE!</v>
      </c>
      <c r="T27" cm="1">
        <f t="array" ref="T27">IF(fTbl215[[#This Row],[listlu]]=0,0,IF(INDEX(Ltbl[Context],fTbl215[[#This Row],[listlu]],1)="ALL",1,2))</f>
        <v>0</v>
      </c>
      <c r="U27" s="29"/>
    </row>
    <row r="28" spans="1:21">
      <c r="A28" s="15" t="s">
        <v>123</v>
      </c>
      <c r="B28" t="s">
        <v>142</v>
      </c>
      <c r="D28" s="1"/>
      <c r="E28" s="1"/>
      <c r="F28" s="1"/>
      <c r="G28" s="1"/>
      <c r="H28" s="1"/>
      <c r="I28" s="19" t="s">
        <v>310</v>
      </c>
      <c r="J28" s="28"/>
      <c r="K28" t="str">
        <f ca="1">IFERROR(IF(fTbl215[[#This Row],[LT]]="H",MID(fTbl215[[#This Row],[Hierarchy]],fTbl215[[#This Row],[pipe1]]+1,fTbl215[[#This Row],[pipe2]]-fTbl215[[#This Row],[pipe1]]-1),LEFT(fTbl215[[#This Row],[Hierarchy]],FIND("|",fTbl215[[#This Row],[Hierarchy]])-1)),"")</f>
        <v>iOrders</v>
      </c>
      <c r="L28" s="1">
        <f ca="1">IF(ROW()=3,0,OFFSET(fTbl215[[#This Row],[Lev]],-1,0)+IF(OFFSET(fTbl215[[#This Row],[LT]],-1,0)="H",1,IF(fTbl215[[#This Row],[LT]]="!H",-1,0)))</f>
        <v>1</v>
      </c>
      <c r="M28">
        <f>IF(RIGHT(fTbl215[[#This Row],[valid]],4)&lt;&gt;"list",0,IFERROR(MATCH(fTbl215[[#This Row],[Context]]&amp;"|"&amp;fTbl215[[#This Row],[Field]],Ltbl[ind],0),IFERROR(MATCH("ALL|"&amp;fTbl215[[#This Row],[Field]],Ltbl[ind],0),-1)))</f>
        <v>0</v>
      </c>
      <c r="N28" t="str" cm="1">
        <f t="array" ref="N28">IF(fTbl215[[#This Row],[listlu]]&lt;1,"",IF(INDEX(Ltbl[Generic],fTbl215[[#This Row],[listlu]])="","",INDEX(Ltbl[Generic],fTbl215[[#This Row],[listlu]])))</f>
        <v/>
      </c>
      <c r="O28">
        <f>IF(AND(fTbl215[[#This Row],[listlu]],ISERROR(FIND(",",fTbl215[[#This Row],[liMatch]])),fTbl215[[#This Row],[liMatch]]&lt;&gt;""),1,0)</f>
        <v>0</v>
      </c>
      <c r="P28">
        <f>IF(AND(fTbl215[[#This Row],[LT]]="Ref",ISNA(MATCH(fTbl215[[#This Row],[Field]],rTbl[Ref],0))),1,0)</f>
        <v>0</v>
      </c>
      <c r="Q28"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28">
        <f ca="1">FIND("~",SUBSTITUTE(fTbl215[[#This Row],[Hierarchy]],"|","~",1))</f>
        <v>8</v>
      </c>
      <c r="S28" t="e">
        <f ca="1">FIND("~",SUBSTITUTE(fTbl215[[#This Row],[Hierarchy]],"|","~",2))</f>
        <v>#VALUE!</v>
      </c>
      <c r="T28" cm="1">
        <f t="array" ref="T28">IF(fTbl215[[#This Row],[listlu]]=0,0,IF(INDEX(Ltbl[Context],fTbl215[[#This Row],[listlu]],1)="ALL",1,2))</f>
        <v>0</v>
      </c>
      <c r="U28" s="29"/>
    </row>
    <row r="29" spans="1:21">
      <c r="A29" s="15" t="s">
        <v>21</v>
      </c>
      <c r="B29" t="s">
        <v>311</v>
      </c>
      <c r="D29" s="1"/>
      <c r="E29" s="1">
        <v>1</v>
      </c>
      <c r="F29" s="1" t="s">
        <v>23</v>
      </c>
      <c r="G29" s="1"/>
      <c r="H29" s="1"/>
      <c r="I29" s="19" t="s">
        <v>145</v>
      </c>
      <c r="J29" s="28"/>
      <c r="K29" t="str">
        <f ca="1">IFERROR(IF(fTbl215[[#This Row],[LT]]="H",MID(fTbl215[[#This Row],[Hierarchy]],fTbl215[[#This Row],[pipe1]]+1,fTbl215[[#This Row],[pipe2]]-fTbl215[[#This Row],[pipe1]]-1),LEFT(fTbl215[[#This Row],[Hierarchy]],FIND("|",fTbl215[[#This Row],[Hierarchy]])-1)),"")</f>
        <v>iOrders</v>
      </c>
      <c r="L29" s="1">
        <f ca="1">IF(ROW()=3,0,OFFSET(fTbl215[[#This Row],[Lev]],-1,0)+IF(OFFSET(fTbl215[[#This Row],[LT]],-1,0)="H",1,IF(fTbl215[[#This Row],[LT]]="!H",-1,0)))</f>
        <v>1</v>
      </c>
      <c r="M29">
        <f>IF(RIGHT(fTbl215[[#This Row],[valid]],4)&lt;&gt;"list",0,IFERROR(MATCH(fTbl215[[#This Row],[Context]]&amp;"|"&amp;fTbl215[[#This Row],[Field]],Ltbl[ind],0),IFERROR(MATCH("ALL|"&amp;fTbl215[[#This Row],[Field]],Ltbl[ind],0),-1)))</f>
        <v>0</v>
      </c>
      <c r="N29" t="str" cm="1">
        <f t="array" ref="N29">IF(fTbl215[[#This Row],[listlu]]&lt;1,"",IF(INDEX(Ltbl[Generic],fTbl215[[#This Row],[listlu]])="","",INDEX(Ltbl[Generic],fTbl215[[#This Row],[listlu]])))</f>
        <v/>
      </c>
      <c r="O29">
        <f>IF(AND(fTbl215[[#This Row],[listlu]],ISERROR(FIND(",",fTbl215[[#This Row],[liMatch]])),fTbl215[[#This Row],[liMatch]]&lt;&gt;""),1,0)</f>
        <v>0</v>
      </c>
      <c r="P29">
        <f>IF(AND(fTbl215[[#This Row],[LT]]="Ref",ISNA(MATCH(fTbl215[[#This Row],[Field]],rTbl[Ref],0))),1,0)</f>
        <v>0</v>
      </c>
      <c r="Q29"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29">
        <f ca="1">FIND("~",SUBSTITUTE(fTbl215[[#This Row],[Hierarchy]],"|","~",1))</f>
        <v>12</v>
      </c>
      <c r="S29">
        <f ca="1">FIND("~",SUBSTITUTE(fTbl215[[#This Row],[Hierarchy]],"|","~",2))</f>
        <v>20</v>
      </c>
      <c r="T29" cm="1">
        <f t="array" ref="T29">IF(fTbl215[[#This Row],[listlu]]=0,0,IF(INDEX(Ltbl[Context],fTbl215[[#This Row],[listlu]],1)="ALL",1,2))</f>
        <v>0</v>
      </c>
      <c r="U29" s="29"/>
    </row>
    <row r="30" spans="1:21">
      <c r="A30" s="15" t="s">
        <v>28</v>
      </c>
      <c r="B30" t="s">
        <v>146</v>
      </c>
      <c r="C30" t="s">
        <v>84</v>
      </c>
      <c r="D30" s="1"/>
      <c r="E30" s="1">
        <v>1</v>
      </c>
      <c r="F30" s="1"/>
      <c r="G30" s="1"/>
      <c r="H30" s="1"/>
      <c r="I30" s="19" t="s">
        <v>312</v>
      </c>
      <c r="J30" s="28" t="s">
        <v>313</v>
      </c>
      <c r="K30" t="str">
        <f ca="1">IFERROR(IF(fTbl215[[#This Row],[LT]]="H",MID(fTbl215[[#This Row],[Hierarchy]],fTbl215[[#This Row],[pipe1]]+1,fTbl215[[#This Row],[pipe2]]-fTbl215[[#This Row],[pipe1]]-1),LEFT(fTbl215[[#This Row],[Hierarchy]],FIND("|",fTbl215[[#This Row],[Hierarchy]])-1)),"")</f>
        <v>iOrderLines</v>
      </c>
      <c r="L30" s="1">
        <f ca="1">IF(ROW()=3,0,OFFSET(fTbl215[[#This Row],[Lev]],-1,0)+IF(OFFSET(fTbl215[[#This Row],[LT]],-1,0)="H",1,IF(fTbl215[[#This Row],[LT]]="!H",-1,0)))</f>
        <v>2</v>
      </c>
      <c r="M30">
        <f>IF(RIGHT(fTbl215[[#This Row],[valid]],4)&lt;&gt;"list",0,IFERROR(MATCH(fTbl215[[#This Row],[Context]]&amp;"|"&amp;fTbl215[[#This Row],[Field]],Ltbl[ind],0),IFERROR(MATCH("ALL|"&amp;fTbl215[[#This Row],[Field]],Ltbl[ind],0),-1)))</f>
        <v>0</v>
      </c>
      <c r="N30" t="str" cm="1">
        <f t="array" ref="N30">IF(fTbl215[[#This Row],[listlu]]&lt;1,"",IF(INDEX(Ltbl[Generic],fTbl215[[#This Row],[listlu]])="","",INDEX(Ltbl[Generic],fTbl215[[#This Row],[listlu]])))</f>
        <v/>
      </c>
      <c r="O30">
        <f>IF(AND(fTbl215[[#This Row],[listlu]],ISERROR(FIND(",",fTbl215[[#This Row],[liMatch]])),fTbl215[[#This Row],[liMatch]]&lt;&gt;""),1,0)</f>
        <v>0</v>
      </c>
      <c r="P30">
        <f>IF(AND(fTbl215[[#This Row],[LT]]="Ref",ISNA(MATCH(fTbl215[[#This Row],[Field]],rTbl[Ref],0))),1,0)</f>
        <v>0</v>
      </c>
      <c r="Q30"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30">
        <f ca="1">FIND("~",SUBSTITUTE(fTbl215[[#This Row],[Hierarchy]],"|","~",1))</f>
        <v>12</v>
      </c>
      <c r="S30">
        <f ca="1">FIND("~",SUBSTITUTE(fTbl215[[#This Row],[Hierarchy]],"|","~",2))</f>
        <v>20</v>
      </c>
      <c r="T30" cm="1">
        <f t="array" ref="T30">IF(fTbl215[[#This Row],[listlu]]=0,0,IF(INDEX(Ltbl[Context],fTbl215[[#This Row],[listlu]],1)="ALL",1,2))</f>
        <v>0</v>
      </c>
      <c r="U30" s="29"/>
    </row>
    <row r="31" spans="1:21">
      <c r="A31" s="15" t="s">
        <v>28</v>
      </c>
      <c r="B31" t="s">
        <v>314</v>
      </c>
      <c r="C31" t="s">
        <v>94</v>
      </c>
      <c r="D31" s="1"/>
      <c r="E31" s="1">
        <v>0</v>
      </c>
      <c r="F31" s="1"/>
      <c r="G31" s="1"/>
      <c r="H31" s="1"/>
      <c r="I31" s="19" t="s">
        <v>315</v>
      </c>
      <c r="J31" s="27" t="s">
        <v>316</v>
      </c>
      <c r="K31" t="str">
        <f ca="1">IFERROR(IF(fTbl215[[#This Row],[LT]]="H",MID(fTbl215[[#This Row],[Hierarchy]],fTbl215[[#This Row],[pipe1]]+1,fTbl215[[#This Row],[pipe2]]-fTbl215[[#This Row],[pipe1]]-1),LEFT(fTbl215[[#This Row],[Hierarchy]],FIND("|",fTbl215[[#This Row],[Hierarchy]])-1)),"")</f>
        <v>iOrderLines</v>
      </c>
      <c r="L31" s="1">
        <f ca="1">IF(ROW()=3,0,OFFSET(fTbl215[[#This Row],[Lev]],-1,0)+IF(OFFSET(fTbl215[[#This Row],[LT]],-1,0)="H",1,IF(fTbl215[[#This Row],[LT]]="!H",-1,0)))</f>
        <v>2</v>
      </c>
      <c r="M31">
        <f>IF(RIGHT(fTbl215[[#This Row],[valid]],4)&lt;&gt;"list",0,IFERROR(MATCH(fTbl215[[#This Row],[Context]]&amp;"|"&amp;fTbl215[[#This Row],[Field]],Ltbl[ind],0),IFERROR(MATCH("ALL|"&amp;fTbl215[[#This Row],[Field]],Ltbl[ind],0),-1)))</f>
        <v>0</v>
      </c>
      <c r="N31" t="str" cm="1">
        <f t="array" ref="N31">IF(fTbl215[[#This Row],[listlu]]&lt;1,"",IF(INDEX(Ltbl[Generic],fTbl215[[#This Row],[listlu]])="","",INDEX(Ltbl[Generic],fTbl215[[#This Row],[listlu]])))</f>
        <v/>
      </c>
      <c r="O31">
        <f>IF(AND(fTbl215[[#This Row],[listlu]],ISERROR(FIND(",",fTbl215[[#This Row],[liMatch]])),fTbl215[[#This Row],[liMatch]]&lt;&gt;""),1,0)</f>
        <v>0</v>
      </c>
      <c r="P31">
        <f>IF(AND(fTbl215[[#This Row],[LT]]="Ref",ISNA(MATCH(fTbl215[[#This Row],[Field]],rTbl[Ref],0))),1,0)</f>
        <v>0</v>
      </c>
      <c r="Q31"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31">
        <f ca="1">FIND("~",SUBSTITUTE(fTbl215[[#This Row],[Hierarchy]],"|","~",1))</f>
        <v>12</v>
      </c>
      <c r="S31">
        <f ca="1">FIND("~",SUBSTITUTE(fTbl215[[#This Row],[Hierarchy]],"|","~",2))</f>
        <v>20</v>
      </c>
      <c r="T31" cm="1">
        <f t="array" ref="T31">IF(fTbl215[[#This Row],[listlu]]=0,0,IF(INDEX(Ltbl[Context],fTbl215[[#This Row],[listlu]],1)="ALL",1,2))</f>
        <v>0</v>
      </c>
      <c r="U31" s="29"/>
    </row>
    <row r="32" spans="1:21">
      <c r="A32" s="15" t="s">
        <v>28</v>
      </c>
      <c r="B32" t="s">
        <v>152</v>
      </c>
      <c r="C32" t="s">
        <v>30</v>
      </c>
      <c r="D32" s="1">
        <v>30</v>
      </c>
      <c r="E32" s="1">
        <v>1</v>
      </c>
      <c r="F32" s="1"/>
      <c r="G32" s="1"/>
      <c r="H32" s="1"/>
      <c r="I32" s="19" t="s">
        <v>153</v>
      </c>
      <c r="J32" s="28" t="s">
        <v>154</v>
      </c>
      <c r="K32" t="str">
        <f ca="1">IFERROR(IF(fTbl215[[#This Row],[LT]]="H",MID(fTbl215[[#This Row],[Hierarchy]],fTbl215[[#This Row],[pipe1]]+1,fTbl215[[#This Row],[pipe2]]-fTbl215[[#This Row],[pipe1]]-1),LEFT(fTbl215[[#This Row],[Hierarchy]],FIND("|",fTbl215[[#This Row],[Hierarchy]])-1)),"")</f>
        <v>iOrderLines</v>
      </c>
      <c r="L32" s="1">
        <f ca="1">IF(ROW()=3,0,OFFSET(fTbl215[[#This Row],[Lev]],-1,0)+IF(OFFSET(fTbl215[[#This Row],[LT]],-1,0)="H",1,IF(fTbl215[[#This Row],[LT]]="!H",-1,0)))</f>
        <v>2</v>
      </c>
      <c r="M32">
        <f>IF(RIGHT(fTbl215[[#This Row],[valid]],4)&lt;&gt;"list",0,IFERROR(MATCH(fTbl215[[#This Row],[Context]]&amp;"|"&amp;fTbl215[[#This Row],[Field]],Ltbl[ind],0),IFERROR(MATCH("ALL|"&amp;fTbl215[[#This Row],[Field]],Ltbl[ind],0),-1)))</f>
        <v>0</v>
      </c>
      <c r="N32" t="str" cm="1">
        <f t="array" ref="N32">IF(fTbl215[[#This Row],[listlu]]&lt;1,"",IF(INDEX(Ltbl[Generic],fTbl215[[#This Row],[listlu]])="","",INDEX(Ltbl[Generic],fTbl215[[#This Row],[listlu]])))</f>
        <v/>
      </c>
      <c r="O32">
        <f>IF(AND(fTbl215[[#This Row],[listlu]],ISERROR(FIND(",",fTbl215[[#This Row],[liMatch]])),fTbl215[[#This Row],[liMatch]]&lt;&gt;""),1,0)</f>
        <v>0</v>
      </c>
      <c r="P32">
        <f>IF(AND(fTbl215[[#This Row],[LT]]="Ref",ISNA(MATCH(fTbl215[[#This Row],[Field]],rTbl[Ref],0))),1,0)</f>
        <v>0</v>
      </c>
      <c r="Q32"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32">
        <f ca="1">FIND("~",SUBSTITUTE(fTbl215[[#This Row],[Hierarchy]],"|","~",1))</f>
        <v>12</v>
      </c>
      <c r="S32">
        <f ca="1">FIND("~",SUBSTITUTE(fTbl215[[#This Row],[Hierarchy]],"|","~",2))</f>
        <v>20</v>
      </c>
      <c r="T32" cm="1">
        <f t="array" ref="T32">IF(fTbl215[[#This Row],[listlu]]=0,0,IF(INDEX(Ltbl[Context],fTbl215[[#This Row],[listlu]],1)="ALL",1,2))</f>
        <v>0</v>
      </c>
      <c r="U32" s="29"/>
    </row>
    <row r="33" spans="1:21">
      <c r="A33" s="15" t="s">
        <v>28</v>
      </c>
      <c r="B33" t="s">
        <v>163</v>
      </c>
      <c r="C33" t="s">
        <v>84</v>
      </c>
      <c r="D33" s="1"/>
      <c r="E33" s="1">
        <v>1</v>
      </c>
      <c r="F33" s="1"/>
      <c r="G33" s="1"/>
      <c r="H33" s="1"/>
      <c r="I33" s="19" t="s">
        <v>317</v>
      </c>
      <c r="J33" s="28" t="s">
        <v>318</v>
      </c>
      <c r="K33" t="str">
        <f ca="1">IFERROR(IF(fTbl215[[#This Row],[LT]]="H",MID(fTbl215[[#This Row],[Hierarchy]],fTbl215[[#This Row],[pipe1]]+1,fTbl215[[#This Row],[pipe2]]-fTbl215[[#This Row],[pipe1]]-1),LEFT(fTbl215[[#This Row],[Hierarchy]],FIND("|",fTbl215[[#This Row],[Hierarchy]])-1)),"")</f>
        <v>iOrderLines</v>
      </c>
      <c r="L33" s="1">
        <f ca="1">IF(ROW()=3,0,OFFSET(fTbl215[[#This Row],[Lev]],-1,0)+IF(OFFSET(fTbl215[[#This Row],[LT]],-1,0)="H",1,IF(fTbl215[[#This Row],[LT]]="!H",-1,0)))</f>
        <v>2</v>
      </c>
      <c r="M33">
        <f>IF(RIGHT(fTbl215[[#This Row],[valid]],4)&lt;&gt;"list",0,IFERROR(MATCH(fTbl215[[#This Row],[Context]]&amp;"|"&amp;fTbl215[[#This Row],[Field]],Ltbl[ind],0),IFERROR(MATCH("ALL|"&amp;fTbl215[[#This Row],[Field]],Ltbl[ind],0),-1)))</f>
        <v>0</v>
      </c>
      <c r="N33" t="str" cm="1">
        <f t="array" ref="N33">IF(fTbl215[[#This Row],[listlu]]&lt;1,"",IF(INDEX(Ltbl[Generic],fTbl215[[#This Row],[listlu]])="","",INDEX(Ltbl[Generic],fTbl215[[#This Row],[listlu]])))</f>
        <v/>
      </c>
      <c r="O33">
        <f>IF(AND(fTbl215[[#This Row],[listlu]],ISERROR(FIND(",",fTbl215[[#This Row],[liMatch]])),fTbl215[[#This Row],[liMatch]]&lt;&gt;""),1,0)</f>
        <v>0</v>
      </c>
      <c r="P33">
        <f>IF(AND(fTbl215[[#This Row],[LT]]="Ref",ISNA(MATCH(fTbl215[[#This Row],[Field]],rTbl[Ref],0))),1,0)</f>
        <v>0</v>
      </c>
      <c r="Q33"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33">
        <f ca="1">FIND("~",SUBSTITUTE(fTbl215[[#This Row],[Hierarchy]],"|","~",1))</f>
        <v>12</v>
      </c>
      <c r="S33">
        <f ca="1">FIND("~",SUBSTITUTE(fTbl215[[#This Row],[Hierarchy]],"|","~",2))</f>
        <v>20</v>
      </c>
      <c r="T33" cm="1">
        <f t="array" ref="T33">IF(fTbl215[[#This Row],[listlu]]=0,0,IF(INDEX(Ltbl[Context],fTbl215[[#This Row],[listlu]],1)="ALL",1,2))</f>
        <v>0</v>
      </c>
      <c r="U33" s="29"/>
    </row>
    <row r="34" spans="1:21">
      <c r="A34" s="15" t="s">
        <v>28</v>
      </c>
      <c r="B34" t="s">
        <v>159</v>
      </c>
      <c r="C34" t="s">
        <v>30</v>
      </c>
      <c r="D34" s="1">
        <v>5</v>
      </c>
      <c r="E34" s="1">
        <v>0</v>
      </c>
      <c r="F34" s="1"/>
      <c r="G34" s="1"/>
      <c r="H34" s="1"/>
      <c r="I34" s="19" t="s">
        <v>319</v>
      </c>
      <c r="J34" s="28" t="s">
        <v>320</v>
      </c>
      <c r="K34" t="str">
        <f ca="1">IFERROR(IF(fTbl215[[#This Row],[LT]]="H",MID(fTbl215[[#This Row],[Hierarchy]],fTbl215[[#This Row],[pipe1]]+1,fTbl215[[#This Row],[pipe2]]-fTbl215[[#This Row],[pipe1]]-1),LEFT(fTbl215[[#This Row],[Hierarchy]],FIND("|",fTbl215[[#This Row],[Hierarchy]])-1)),"")</f>
        <v>iOrderLines</v>
      </c>
      <c r="L34" s="1">
        <f ca="1">IF(ROW()=3,0,OFFSET(fTbl215[[#This Row],[Lev]],-1,0)+IF(OFFSET(fTbl215[[#This Row],[LT]],-1,0)="H",1,IF(fTbl215[[#This Row],[LT]]="!H",-1,0)))</f>
        <v>2</v>
      </c>
      <c r="M34">
        <f>IF(RIGHT(fTbl215[[#This Row],[valid]],4)&lt;&gt;"list",0,IFERROR(MATCH(fTbl215[[#This Row],[Context]]&amp;"|"&amp;fTbl215[[#This Row],[Field]],Ltbl[ind],0),IFERROR(MATCH("ALL|"&amp;fTbl215[[#This Row],[Field]],Ltbl[ind],0),-1)))</f>
        <v>0</v>
      </c>
      <c r="N34" t="str" cm="1">
        <f t="array" ref="N34">IF(fTbl215[[#This Row],[listlu]]&lt;1,"",IF(INDEX(Ltbl[Generic],fTbl215[[#This Row],[listlu]])="","",INDEX(Ltbl[Generic],fTbl215[[#This Row],[listlu]])))</f>
        <v/>
      </c>
      <c r="O34">
        <f>IF(AND(fTbl215[[#This Row],[listlu]],ISERROR(FIND(",",fTbl215[[#This Row],[liMatch]])),fTbl215[[#This Row],[liMatch]]&lt;&gt;""),1,0)</f>
        <v>0</v>
      </c>
      <c r="P34">
        <f>IF(AND(fTbl215[[#This Row],[LT]]="Ref",ISNA(MATCH(fTbl215[[#This Row],[Field]],rTbl[Ref],0))),1,0)</f>
        <v>0</v>
      </c>
      <c r="Q34"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34">
        <f ca="1">FIND("~",SUBSTITUTE(fTbl215[[#This Row],[Hierarchy]],"|","~",1))</f>
        <v>12</v>
      </c>
      <c r="S34">
        <f ca="1">FIND("~",SUBSTITUTE(fTbl215[[#This Row],[Hierarchy]],"|","~",2))</f>
        <v>20</v>
      </c>
      <c r="T34" cm="1">
        <f t="array" ref="T34">IF(fTbl215[[#This Row],[listlu]]=0,0,IF(INDEX(Ltbl[Context],fTbl215[[#This Row],[listlu]],1)="ALL",1,2))</f>
        <v>0</v>
      </c>
      <c r="U34" s="29"/>
    </row>
    <row r="35" spans="1:21">
      <c r="A35" s="15" t="s">
        <v>28</v>
      </c>
      <c r="B35" t="s">
        <v>321</v>
      </c>
      <c r="C35" t="s">
        <v>84</v>
      </c>
      <c r="D35" s="1"/>
      <c r="E35" s="1"/>
      <c r="F35" s="1"/>
      <c r="G35" s="1"/>
      <c r="H35" s="1"/>
      <c r="I35" s="19" t="s">
        <v>322</v>
      </c>
      <c r="J35" s="28" t="s">
        <v>318</v>
      </c>
      <c r="K35" t="str">
        <f ca="1">IFERROR(IF(fTbl215[[#This Row],[LT]]="H",MID(fTbl215[[#This Row],[Hierarchy]],fTbl215[[#This Row],[pipe1]]+1,fTbl215[[#This Row],[pipe2]]-fTbl215[[#This Row],[pipe1]]-1),LEFT(fTbl215[[#This Row],[Hierarchy]],FIND("|",fTbl215[[#This Row],[Hierarchy]])-1)),"")</f>
        <v>iOrderLines</v>
      </c>
      <c r="L35" s="1">
        <f ca="1">IF(ROW()=3,0,OFFSET(fTbl215[[#This Row],[Lev]],-1,0)+IF(OFFSET(fTbl215[[#This Row],[LT]],-1,0)="H",1,IF(fTbl215[[#This Row],[LT]]="!H",-1,0)))</f>
        <v>2</v>
      </c>
      <c r="M35">
        <f>IF(RIGHT(fTbl215[[#This Row],[valid]],4)&lt;&gt;"list",0,IFERROR(MATCH(fTbl215[[#This Row],[Context]]&amp;"|"&amp;fTbl215[[#This Row],[Field]],Ltbl[ind],0),IFERROR(MATCH("ALL|"&amp;fTbl215[[#This Row],[Field]],Ltbl[ind],0),-1)))</f>
        <v>0</v>
      </c>
      <c r="N35" t="str" cm="1">
        <f t="array" ref="N35">IF(fTbl215[[#This Row],[listlu]]&lt;1,"",IF(INDEX(Ltbl[Generic],fTbl215[[#This Row],[listlu]])="","",INDEX(Ltbl[Generic],fTbl215[[#This Row],[listlu]])))</f>
        <v/>
      </c>
      <c r="O35">
        <f>IF(AND(fTbl215[[#This Row],[listlu]],ISERROR(FIND(",",fTbl215[[#This Row],[liMatch]])),fTbl215[[#This Row],[liMatch]]&lt;&gt;""),1,0)</f>
        <v>0</v>
      </c>
      <c r="P35">
        <f>IF(AND(fTbl215[[#This Row],[LT]]="Ref",ISNA(MATCH(fTbl215[[#This Row],[Field]],rTbl[Ref],0))),1,0)</f>
        <v>0</v>
      </c>
      <c r="Q35"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35">
        <f ca="1">FIND("~",SUBSTITUTE(fTbl215[[#This Row],[Hierarchy]],"|","~",1))</f>
        <v>12</v>
      </c>
      <c r="S35">
        <f ca="1">FIND("~",SUBSTITUTE(fTbl215[[#This Row],[Hierarchy]],"|","~",2))</f>
        <v>20</v>
      </c>
      <c r="T35" cm="1">
        <f t="array" ref="T35">IF(fTbl215[[#This Row],[listlu]]=0,0,IF(INDEX(Ltbl[Context],fTbl215[[#This Row],[listlu]],1)="ALL",1,2))</f>
        <v>0</v>
      </c>
      <c r="U35" s="29"/>
    </row>
    <row r="36" spans="1:21">
      <c r="A36" s="15" t="s">
        <v>28</v>
      </c>
      <c r="B36" t="s">
        <v>323</v>
      </c>
      <c r="C36" t="s">
        <v>30</v>
      </c>
      <c r="D36" s="1">
        <v>15</v>
      </c>
      <c r="E36" s="1">
        <v>0</v>
      </c>
      <c r="F36" s="1"/>
      <c r="G36" s="1"/>
      <c r="H36" s="1"/>
      <c r="I36" s="19" t="s">
        <v>324</v>
      </c>
      <c r="J36" s="28" t="s">
        <v>325</v>
      </c>
      <c r="K36" t="str">
        <f ca="1">IFERROR(IF(fTbl215[[#This Row],[LT]]="H",MID(fTbl215[[#This Row],[Hierarchy]],fTbl215[[#This Row],[pipe1]]+1,fTbl215[[#This Row],[pipe2]]-fTbl215[[#This Row],[pipe1]]-1),LEFT(fTbl215[[#This Row],[Hierarchy]],FIND("|",fTbl215[[#This Row],[Hierarchy]])-1)),"")</f>
        <v>iOrderLines</v>
      </c>
      <c r="L36" s="1">
        <f ca="1">IF(ROW()=3,0,OFFSET(fTbl215[[#This Row],[Lev]],-1,0)+IF(OFFSET(fTbl215[[#This Row],[LT]],-1,0)="H",1,IF(fTbl215[[#This Row],[LT]]="!H",-1,0)))</f>
        <v>2</v>
      </c>
      <c r="M36">
        <f>IF(RIGHT(fTbl215[[#This Row],[valid]],4)&lt;&gt;"list",0,IFERROR(MATCH(fTbl215[[#This Row],[Context]]&amp;"|"&amp;fTbl215[[#This Row],[Field]],Ltbl[ind],0),IFERROR(MATCH("ALL|"&amp;fTbl215[[#This Row],[Field]],Ltbl[ind],0),-1)))</f>
        <v>0</v>
      </c>
      <c r="N36" t="str" cm="1">
        <f t="array" ref="N36">IF(fTbl215[[#This Row],[listlu]]&lt;1,"",IF(INDEX(Ltbl[Generic],fTbl215[[#This Row],[listlu]])="","",INDEX(Ltbl[Generic],fTbl215[[#This Row],[listlu]])))</f>
        <v/>
      </c>
      <c r="O36">
        <f>IF(AND(fTbl215[[#This Row],[listlu]],ISERROR(FIND(",",fTbl215[[#This Row],[liMatch]])),fTbl215[[#This Row],[liMatch]]&lt;&gt;""),1,0)</f>
        <v>0</v>
      </c>
      <c r="P36">
        <f>IF(AND(fTbl215[[#This Row],[LT]]="Ref",ISNA(MATCH(fTbl215[[#This Row],[Field]],rTbl[Ref],0))),1,0)</f>
        <v>0</v>
      </c>
      <c r="Q36"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36">
        <f ca="1">FIND("~",SUBSTITUTE(fTbl215[[#This Row],[Hierarchy]],"|","~",1))</f>
        <v>12</v>
      </c>
      <c r="S36">
        <f ca="1">FIND("~",SUBSTITUTE(fTbl215[[#This Row],[Hierarchy]],"|","~",2))</f>
        <v>20</v>
      </c>
      <c r="T36" cm="1">
        <f t="array" ref="T36">IF(fTbl215[[#This Row],[listlu]]=0,0,IF(INDEX(Ltbl[Context],fTbl215[[#This Row],[listlu]],1)="ALL",1,2))</f>
        <v>0</v>
      </c>
      <c r="U36" s="29"/>
    </row>
    <row r="37" spans="1:21">
      <c r="A37" s="15" t="s">
        <v>28</v>
      </c>
      <c r="B37" t="s">
        <v>326</v>
      </c>
      <c r="C37" t="s">
        <v>94</v>
      </c>
      <c r="D37" s="1"/>
      <c r="E37" s="1">
        <v>0</v>
      </c>
      <c r="F37" s="1"/>
      <c r="G37" s="1"/>
      <c r="H37" s="1"/>
      <c r="I37" s="19" t="s">
        <v>327</v>
      </c>
      <c r="J37" s="27" t="s">
        <v>316</v>
      </c>
      <c r="K37" t="str">
        <f ca="1">IFERROR(IF(fTbl215[[#This Row],[LT]]="H",MID(fTbl215[[#This Row],[Hierarchy]],fTbl215[[#This Row],[pipe1]]+1,fTbl215[[#This Row],[pipe2]]-fTbl215[[#This Row],[pipe1]]-1),LEFT(fTbl215[[#This Row],[Hierarchy]],FIND("|",fTbl215[[#This Row],[Hierarchy]])-1)),"")</f>
        <v>iOrderLines</v>
      </c>
      <c r="L37" s="1">
        <f ca="1">IF(ROW()=3,0,OFFSET(fTbl215[[#This Row],[Lev]],-1,0)+IF(OFFSET(fTbl215[[#This Row],[LT]],-1,0)="H",1,IF(fTbl215[[#This Row],[LT]]="!H",-1,0)))</f>
        <v>2</v>
      </c>
      <c r="M37">
        <f>IF(RIGHT(fTbl215[[#This Row],[valid]],4)&lt;&gt;"list",0,IFERROR(MATCH(fTbl215[[#This Row],[Context]]&amp;"|"&amp;fTbl215[[#This Row],[Field]],Ltbl[ind],0),IFERROR(MATCH("ALL|"&amp;fTbl215[[#This Row],[Field]],Ltbl[ind],0),-1)))</f>
        <v>0</v>
      </c>
      <c r="N37" t="str" cm="1">
        <f t="array" ref="N37">IF(fTbl215[[#This Row],[listlu]]&lt;1,"",IF(INDEX(Ltbl[Generic],fTbl215[[#This Row],[listlu]])="","",INDEX(Ltbl[Generic],fTbl215[[#This Row],[listlu]])))</f>
        <v/>
      </c>
      <c r="O37">
        <f>IF(AND(fTbl215[[#This Row],[listlu]],ISERROR(FIND(",",fTbl215[[#This Row],[liMatch]])),fTbl215[[#This Row],[liMatch]]&lt;&gt;""),1,0)</f>
        <v>0</v>
      </c>
      <c r="P37">
        <f>IF(AND(fTbl215[[#This Row],[LT]]="Ref",ISNA(MATCH(fTbl215[[#This Row],[Field]],rTbl[Ref],0))),1,0)</f>
        <v>0</v>
      </c>
      <c r="Q37"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37">
        <f ca="1">FIND("~",SUBSTITUTE(fTbl215[[#This Row],[Hierarchy]],"|","~",1))</f>
        <v>12</v>
      </c>
      <c r="S37">
        <f ca="1">FIND("~",SUBSTITUTE(fTbl215[[#This Row],[Hierarchy]],"|","~",2))</f>
        <v>20</v>
      </c>
      <c r="T37" cm="1">
        <f t="array" ref="T37">IF(fTbl215[[#This Row],[listlu]]=0,0,IF(INDEX(Ltbl[Context],fTbl215[[#This Row],[listlu]],1)="ALL",1,2))</f>
        <v>0</v>
      </c>
      <c r="U37" s="29"/>
    </row>
    <row r="38" spans="1:21">
      <c r="A38" s="15" t="s">
        <v>28</v>
      </c>
      <c r="B38" t="s">
        <v>328</v>
      </c>
      <c r="C38" t="s">
        <v>84</v>
      </c>
      <c r="D38" s="1"/>
      <c r="E38" s="1">
        <v>0</v>
      </c>
      <c r="F38" s="1"/>
      <c r="G38" s="1"/>
      <c r="H38" s="1"/>
      <c r="I38" s="19" t="s">
        <v>329</v>
      </c>
      <c r="J38" s="27" t="s">
        <v>330</v>
      </c>
      <c r="K38" t="str">
        <f ca="1">IFERROR(IF(fTbl215[[#This Row],[LT]]="H",MID(fTbl215[[#This Row],[Hierarchy]],fTbl215[[#This Row],[pipe1]]+1,fTbl215[[#This Row],[pipe2]]-fTbl215[[#This Row],[pipe1]]-1),LEFT(fTbl215[[#This Row],[Hierarchy]],FIND("|",fTbl215[[#This Row],[Hierarchy]])-1)),"")</f>
        <v>iOrderLines</v>
      </c>
      <c r="L38" s="1">
        <f ca="1">IF(ROW()=3,0,OFFSET(fTbl215[[#This Row],[Lev]],-1,0)+IF(OFFSET(fTbl215[[#This Row],[LT]],-1,0)="H",1,IF(fTbl215[[#This Row],[LT]]="!H",-1,0)))</f>
        <v>2</v>
      </c>
      <c r="M38">
        <f>IF(RIGHT(fTbl215[[#This Row],[valid]],4)&lt;&gt;"list",0,IFERROR(MATCH(fTbl215[[#This Row],[Context]]&amp;"|"&amp;fTbl215[[#This Row],[Field]],Ltbl[ind],0),IFERROR(MATCH("ALL|"&amp;fTbl215[[#This Row],[Field]],Ltbl[ind],0),-1)))</f>
        <v>0</v>
      </c>
      <c r="N38" t="str" cm="1">
        <f t="array" ref="N38">IF(fTbl215[[#This Row],[listlu]]&lt;1,"",IF(INDEX(Ltbl[Generic],fTbl215[[#This Row],[listlu]])="","",INDEX(Ltbl[Generic],fTbl215[[#This Row],[listlu]])))</f>
        <v/>
      </c>
      <c r="O38">
        <f>IF(AND(fTbl215[[#This Row],[listlu]],ISERROR(FIND(",",fTbl215[[#This Row],[liMatch]])),fTbl215[[#This Row],[liMatch]]&lt;&gt;""),1,0)</f>
        <v>0</v>
      </c>
      <c r="P38">
        <f>IF(AND(fTbl215[[#This Row],[LT]]="Ref",ISNA(MATCH(fTbl215[[#This Row],[Field]],rTbl[Ref],0))),1,0)</f>
        <v>0</v>
      </c>
      <c r="Q38"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38">
        <f ca="1">FIND("~",SUBSTITUTE(fTbl215[[#This Row],[Hierarchy]],"|","~",1))</f>
        <v>12</v>
      </c>
      <c r="S38">
        <f ca="1">FIND("~",SUBSTITUTE(fTbl215[[#This Row],[Hierarchy]],"|","~",2))</f>
        <v>20</v>
      </c>
      <c r="T38" cm="1">
        <f t="array" ref="T38">IF(fTbl215[[#This Row],[listlu]]=0,0,IF(INDEX(Ltbl[Context],fTbl215[[#This Row],[listlu]],1)="ALL",1,2))</f>
        <v>0</v>
      </c>
      <c r="U38" s="29"/>
    </row>
    <row r="39" spans="1:21">
      <c r="A39" s="15" t="s">
        <v>28</v>
      </c>
      <c r="B39" t="s">
        <v>331</v>
      </c>
      <c r="C39" t="s">
        <v>30</v>
      </c>
      <c r="D39" s="1">
        <v>5</v>
      </c>
      <c r="E39" s="1">
        <v>0</v>
      </c>
      <c r="F39" s="1"/>
      <c r="G39" s="1"/>
      <c r="H39" s="1"/>
      <c r="I39" s="19" t="s">
        <v>332</v>
      </c>
      <c r="J39" s="28" t="s">
        <v>333</v>
      </c>
      <c r="K39" t="str">
        <f ca="1">IFERROR(IF(fTbl215[[#This Row],[LT]]="H",MID(fTbl215[[#This Row],[Hierarchy]],fTbl215[[#This Row],[pipe1]]+1,fTbl215[[#This Row],[pipe2]]-fTbl215[[#This Row],[pipe1]]-1),LEFT(fTbl215[[#This Row],[Hierarchy]],FIND("|",fTbl215[[#This Row],[Hierarchy]])-1)),"")</f>
        <v>iOrderLines</v>
      </c>
      <c r="L39" s="1">
        <f ca="1">IF(ROW()=3,0,OFFSET(fTbl215[[#This Row],[Lev]],-1,0)+IF(OFFSET(fTbl215[[#This Row],[LT]],-1,0)="H",1,IF(fTbl215[[#This Row],[LT]]="!H",-1,0)))</f>
        <v>2</v>
      </c>
      <c r="M39">
        <f>IF(RIGHT(fTbl215[[#This Row],[valid]],4)&lt;&gt;"list",0,IFERROR(MATCH(fTbl215[[#This Row],[Context]]&amp;"|"&amp;fTbl215[[#This Row],[Field]],Ltbl[ind],0),IFERROR(MATCH("ALL|"&amp;fTbl215[[#This Row],[Field]],Ltbl[ind],0),-1)))</f>
        <v>0</v>
      </c>
      <c r="N39" t="str" cm="1">
        <f t="array" ref="N39">IF(fTbl215[[#This Row],[listlu]]&lt;1,"",IF(INDEX(Ltbl[Generic],fTbl215[[#This Row],[listlu]])="","",INDEX(Ltbl[Generic],fTbl215[[#This Row],[listlu]])))</f>
        <v/>
      </c>
      <c r="O39">
        <f>IF(AND(fTbl215[[#This Row],[listlu]],ISERROR(FIND(",",fTbl215[[#This Row],[liMatch]])),fTbl215[[#This Row],[liMatch]]&lt;&gt;""),1,0)</f>
        <v>0</v>
      </c>
      <c r="P39">
        <f>IF(AND(fTbl215[[#This Row],[LT]]="Ref",ISNA(MATCH(fTbl215[[#This Row],[Field]],rTbl[Ref],0))),1,0)</f>
        <v>0</v>
      </c>
      <c r="Q39"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39">
        <f ca="1">FIND("~",SUBSTITUTE(fTbl215[[#This Row],[Hierarchy]],"|","~",1))</f>
        <v>12</v>
      </c>
      <c r="S39">
        <f ca="1">FIND("~",SUBSTITUTE(fTbl215[[#This Row],[Hierarchy]],"|","~",2))</f>
        <v>20</v>
      </c>
      <c r="T39" cm="1">
        <f t="array" ref="T39">IF(fTbl215[[#This Row],[listlu]]=0,0,IF(INDEX(Ltbl[Context],fTbl215[[#This Row],[listlu]],1)="ALL",1,2))</f>
        <v>0</v>
      </c>
      <c r="U39" s="29"/>
    </row>
    <row r="40" spans="1:21">
      <c r="A40" s="15" t="s">
        <v>28</v>
      </c>
      <c r="B40" t="s">
        <v>334</v>
      </c>
      <c r="C40" t="s">
        <v>30</v>
      </c>
      <c r="D40" s="1">
        <v>150</v>
      </c>
      <c r="E40" s="1"/>
      <c r="F40" s="1"/>
      <c r="G40" s="1"/>
      <c r="H40" s="1"/>
      <c r="I40" s="19" t="s">
        <v>335</v>
      </c>
      <c r="J40" s="28" t="s">
        <v>333</v>
      </c>
      <c r="K40" t="str">
        <f ca="1">IFERROR(IF(fTbl215[[#This Row],[LT]]="H",MID(fTbl215[[#This Row],[Hierarchy]],fTbl215[[#This Row],[pipe1]]+1,fTbl215[[#This Row],[pipe2]]-fTbl215[[#This Row],[pipe1]]-1),LEFT(fTbl215[[#This Row],[Hierarchy]],FIND("|",fTbl215[[#This Row],[Hierarchy]])-1)),"")</f>
        <v>iOrderLines</v>
      </c>
      <c r="L40" s="1">
        <f ca="1">IF(ROW()=3,0,OFFSET(fTbl215[[#This Row],[Lev]],-1,0)+IF(OFFSET(fTbl215[[#This Row],[LT]],-1,0)="H",1,IF(fTbl215[[#This Row],[LT]]="!H",-1,0)))</f>
        <v>2</v>
      </c>
      <c r="M40">
        <f>IF(RIGHT(fTbl215[[#This Row],[valid]],4)&lt;&gt;"list",0,IFERROR(MATCH(fTbl215[[#This Row],[Context]]&amp;"|"&amp;fTbl215[[#This Row],[Field]],Ltbl[ind],0),IFERROR(MATCH("ALL|"&amp;fTbl215[[#This Row],[Field]],Ltbl[ind],0),-1)))</f>
        <v>0</v>
      </c>
      <c r="N40" t="str" cm="1">
        <f t="array" ref="N40">IF(fTbl215[[#This Row],[listlu]]&lt;1,"",IF(INDEX(Ltbl[Generic],fTbl215[[#This Row],[listlu]])="","",INDEX(Ltbl[Generic],fTbl215[[#This Row],[listlu]])))</f>
        <v/>
      </c>
      <c r="O40">
        <f>IF(AND(fTbl215[[#This Row],[listlu]],ISERROR(FIND(",",fTbl215[[#This Row],[liMatch]])),fTbl215[[#This Row],[liMatch]]&lt;&gt;""),1,0)</f>
        <v>0</v>
      </c>
      <c r="P40">
        <f>IF(AND(fTbl215[[#This Row],[LT]]="Ref",ISNA(MATCH(fTbl215[[#This Row],[Field]],rTbl[Ref],0))),1,0)</f>
        <v>0</v>
      </c>
      <c r="Q40"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40">
        <f ca="1">FIND("~",SUBSTITUTE(fTbl215[[#This Row],[Hierarchy]],"|","~",1))</f>
        <v>12</v>
      </c>
      <c r="S40">
        <f ca="1">FIND("~",SUBSTITUTE(fTbl215[[#This Row],[Hierarchy]],"|","~",2))</f>
        <v>20</v>
      </c>
      <c r="T40" cm="1">
        <f t="array" ref="T40">IF(fTbl215[[#This Row],[listlu]]=0,0,IF(INDEX(Ltbl[Context],fTbl215[[#This Row],[listlu]],1)="ALL",1,2))</f>
        <v>0</v>
      </c>
      <c r="U40" s="29"/>
    </row>
    <row r="41" spans="1:21">
      <c r="A41" s="15" t="s">
        <v>123</v>
      </c>
      <c r="B41" t="s">
        <v>142</v>
      </c>
      <c r="D41" s="1"/>
      <c r="E41" s="1"/>
      <c r="F41" s="1"/>
      <c r="G41" s="1"/>
      <c r="H41" s="1"/>
      <c r="I41" s="19" t="s">
        <v>336</v>
      </c>
      <c r="J41" s="28"/>
      <c r="K41" t="str">
        <f ca="1">IFERROR(IF(fTbl215[[#This Row],[LT]]="H",MID(fTbl215[[#This Row],[Hierarchy]],fTbl215[[#This Row],[pipe1]]+1,fTbl215[[#This Row],[pipe2]]-fTbl215[[#This Row],[pipe1]]-1),LEFT(fTbl215[[#This Row],[Hierarchy]],FIND("|",fTbl215[[#This Row],[Hierarchy]])-1)),"")</f>
        <v>iOrderLines</v>
      </c>
      <c r="L41" s="1">
        <f ca="1">IF(ROW()=3,0,OFFSET(fTbl215[[#This Row],[Lev]],-1,0)+IF(OFFSET(fTbl215[[#This Row],[LT]],-1,0)="H",1,IF(fTbl215[[#This Row],[LT]]="!H",-1,0)))</f>
        <v>2</v>
      </c>
      <c r="M41">
        <f>IF(RIGHT(fTbl215[[#This Row],[valid]],4)&lt;&gt;"list",0,IFERROR(MATCH(fTbl215[[#This Row],[Context]]&amp;"|"&amp;fTbl215[[#This Row],[Field]],Ltbl[ind],0),IFERROR(MATCH("ALL|"&amp;fTbl215[[#This Row],[Field]],Ltbl[ind],0),-1)))</f>
        <v>0</v>
      </c>
      <c r="N41" t="str" cm="1">
        <f t="array" ref="N41">IF(fTbl215[[#This Row],[listlu]]&lt;1,"",IF(INDEX(Ltbl[Generic],fTbl215[[#This Row],[listlu]])="","",INDEX(Ltbl[Generic],fTbl215[[#This Row],[listlu]])))</f>
        <v/>
      </c>
      <c r="O41">
        <f>IF(AND(fTbl215[[#This Row],[listlu]],ISERROR(FIND(",",fTbl215[[#This Row],[liMatch]])),fTbl215[[#This Row],[liMatch]]&lt;&gt;""),1,0)</f>
        <v>0</v>
      </c>
      <c r="P41">
        <f>IF(AND(fTbl215[[#This Row],[LT]]="Ref",ISNA(MATCH(fTbl215[[#This Row],[Field]],rTbl[Ref],0))),1,0)</f>
        <v>0</v>
      </c>
      <c r="Q41"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iOrderLines|iOrders|</v>
      </c>
      <c r="R41">
        <f ca="1">FIND("~",SUBSTITUTE(fTbl215[[#This Row],[Hierarchy]],"|","~",1))</f>
        <v>12</v>
      </c>
      <c r="S41">
        <f ca="1">FIND("~",SUBSTITUTE(fTbl215[[#This Row],[Hierarchy]],"|","~",2))</f>
        <v>20</v>
      </c>
      <c r="T41" cm="1">
        <f t="array" ref="T41">IF(fTbl215[[#This Row],[listlu]]=0,0,IF(INDEX(Ltbl[Context],fTbl215[[#This Row],[listlu]],1)="ALL",1,2))</f>
        <v>0</v>
      </c>
      <c r="U41" s="29"/>
    </row>
    <row r="42" spans="1:21">
      <c r="A42" s="15" t="s">
        <v>177</v>
      </c>
      <c r="B42" t="s">
        <v>311</v>
      </c>
      <c r="D42" s="1"/>
      <c r="E42" s="1"/>
      <c r="F42" s="1"/>
      <c r="G42" s="1"/>
      <c r="H42" s="1"/>
      <c r="I42" s="19" t="s">
        <v>337</v>
      </c>
      <c r="J42" s="28"/>
      <c r="K42" t="str">
        <f ca="1">IFERROR(IF(fTbl215[[#This Row],[LT]]="H",MID(fTbl215[[#This Row],[Hierarchy]],fTbl215[[#This Row],[pipe1]]+1,fTbl215[[#This Row],[pipe2]]-fTbl215[[#This Row],[pipe1]]-1),LEFT(fTbl215[[#This Row],[Hierarchy]],FIND("|",fTbl215[[#This Row],[Hierarchy]])-1)),"")</f>
        <v>iOrders</v>
      </c>
      <c r="L42" s="1">
        <f ca="1">IF(ROW()=3,0,OFFSET(fTbl215[[#This Row],[Lev]],-1,0)+IF(OFFSET(fTbl215[[#This Row],[LT]],-1,0)="H",1,IF(fTbl215[[#This Row],[LT]]="!H",-1,0)))</f>
        <v>1</v>
      </c>
      <c r="M42">
        <f>IF(RIGHT(fTbl215[[#This Row],[valid]],4)&lt;&gt;"list",0,IFERROR(MATCH(fTbl215[[#This Row],[Context]]&amp;"|"&amp;fTbl215[[#This Row],[Field]],Ltbl[ind],0),IFERROR(MATCH("ALL|"&amp;fTbl215[[#This Row],[Field]],Ltbl[ind],0),-1)))</f>
        <v>0</v>
      </c>
      <c r="N42" t="str" cm="1">
        <f t="array" ref="N42">IF(fTbl215[[#This Row],[listlu]]&lt;1,"",IF(INDEX(Ltbl[Generic],fTbl215[[#This Row],[listlu]])="","",INDEX(Ltbl[Generic],fTbl215[[#This Row],[listlu]])))</f>
        <v/>
      </c>
      <c r="O42">
        <f>IF(AND(fTbl215[[#This Row],[listlu]],ISERROR(FIND(",",fTbl215[[#This Row],[liMatch]])),fTbl215[[#This Row],[liMatch]]&lt;&gt;""),1,0)</f>
        <v>0</v>
      </c>
      <c r="P42">
        <f>IF(AND(fTbl215[[#This Row],[LT]]="Ref",ISNA(MATCH(fTbl215[[#This Row],[Field]],rTbl[Ref],0))),1,0)</f>
        <v>0</v>
      </c>
      <c r="Q42"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iOrders|</v>
      </c>
      <c r="R42">
        <f ca="1">FIND("~",SUBSTITUTE(fTbl215[[#This Row],[Hierarchy]],"|","~",1))</f>
        <v>8</v>
      </c>
      <c r="S42" t="e">
        <f ca="1">FIND("~",SUBSTITUTE(fTbl215[[#This Row],[Hierarchy]],"|","~",2))</f>
        <v>#VALUE!</v>
      </c>
      <c r="T42" cm="1">
        <f t="array" ref="T42">IF(fTbl215[[#This Row],[listlu]]=0,0,IF(INDEX(Ltbl[Context],fTbl215[[#This Row],[listlu]],1)="ALL",1,2))</f>
        <v>0</v>
      </c>
      <c r="U42" s="29"/>
    </row>
    <row r="43" spans="1:21">
      <c r="A43" s="15" t="s">
        <v>177</v>
      </c>
      <c r="B43" t="s">
        <v>284</v>
      </c>
      <c r="D43" s="1"/>
      <c r="E43" s="1"/>
      <c r="F43" s="1"/>
      <c r="G43" s="1"/>
      <c r="H43" s="1"/>
      <c r="I43" s="19" t="s">
        <v>338</v>
      </c>
      <c r="J43" s="28"/>
      <c r="K43" t="str">
        <f ca="1">IFERROR(IF(fTbl215[[#This Row],[LT]]="H",MID(fTbl215[[#This Row],[Hierarchy]],fTbl215[[#This Row],[pipe1]]+1,fTbl215[[#This Row],[pipe2]]-fTbl215[[#This Row],[pipe1]]-1),LEFT(fTbl215[[#This Row],[Hierarchy]],FIND("|",fTbl215[[#This Row],[Hierarchy]])-1)),"")</f>
        <v/>
      </c>
      <c r="L43" s="1">
        <f ca="1">IF(ROW()=3,0,OFFSET(fTbl215[[#This Row],[Lev]],-1,0)+IF(OFFSET(fTbl215[[#This Row],[LT]],-1,0)="H",1,IF(fTbl215[[#This Row],[LT]]="!H",-1,0)))</f>
        <v>0</v>
      </c>
      <c r="M43">
        <f>IF(RIGHT(fTbl215[[#This Row],[valid]],4)&lt;&gt;"list",0,IFERROR(MATCH(fTbl215[[#This Row],[Context]]&amp;"|"&amp;fTbl215[[#This Row],[Field]],Ltbl[ind],0),IFERROR(MATCH("ALL|"&amp;fTbl215[[#This Row],[Field]],Ltbl[ind],0),-1)))</f>
        <v>0</v>
      </c>
      <c r="N43" t="str" cm="1">
        <f t="array" ref="N43">IF(fTbl215[[#This Row],[listlu]]&lt;1,"",IF(INDEX(Ltbl[Generic],fTbl215[[#This Row],[listlu]])="","",INDEX(Ltbl[Generic],fTbl215[[#This Row],[listlu]])))</f>
        <v/>
      </c>
      <c r="O43">
        <f>IF(AND(fTbl215[[#This Row],[listlu]],ISERROR(FIND(",",fTbl215[[#This Row],[liMatch]])),fTbl215[[#This Row],[liMatch]]&lt;&gt;""),1,0)</f>
        <v>0</v>
      </c>
      <c r="P43">
        <f>IF(AND(fTbl215[[#This Row],[LT]]="Ref",ISNA(MATCH(fTbl215[[#This Row],[Field]],rTbl[Ref],0))),1,0)</f>
        <v>0</v>
      </c>
      <c r="Q43" t="str">
        <f ca="1">IF(ROW()=3,IF(fTbl215[[#This Row],[LT]]="H",fTbl215[[#This Row],[Field]]&amp;"|","|"),IF(fTbl215[[#This Row],[LT]]="H",fTbl215[[#This Row],[Field]]&amp;"|"&amp;OFFSET(fTbl215[[#This Row],[Hierarchy]],-1,0),IF(fTbl215[[#This Row],[LT]]&lt;&gt;"!H",OFFSET(fTbl215[[#This Row],[Hierarchy]],-1,0),RIGHT(OFFSET(fTbl215[[#This Row],[Hierarchy]],-1,0),LEN(OFFSET(fTbl215[[#This Row],[Hierarchy]],-1,0))-LEN(fTbl215[[#This Row],[Field]])-1))))</f>
        <v/>
      </c>
      <c r="R43" t="e">
        <f ca="1">FIND("~",SUBSTITUTE(fTbl215[[#This Row],[Hierarchy]],"|","~",1))</f>
        <v>#VALUE!</v>
      </c>
      <c r="S43" t="e">
        <f ca="1">FIND("~",SUBSTITUTE(fTbl215[[#This Row],[Hierarchy]],"|","~",2))</f>
        <v>#VALUE!</v>
      </c>
      <c r="T43" cm="1">
        <f t="array" ref="T43">IF(fTbl215[[#This Row],[listlu]]=0,0,IF(INDEX(Ltbl[Context],fTbl215[[#This Row],[listlu]],1)="ALL",1,2))</f>
        <v>0</v>
      </c>
      <c r="U43" s="29"/>
    </row>
  </sheetData>
  <conditionalFormatting sqref="A29:L39 A26 A42:L43 C41:L41 E26:L28 A27:D27 A3:L25 D40:L40">
    <cfRule type="expression" dxfId="354" priority="50">
      <formula>($A3="!H")</formula>
    </cfRule>
    <cfRule type="expression" dxfId="353" priority="51">
      <formula>($A3="REF")</formula>
    </cfRule>
    <cfRule type="expression" dxfId="352" priority="52">
      <formula>($A3="C")</formula>
    </cfRule>
    <cfRule type="expression" dxfId="351" priority="53">
      <formula>($A3="H")</formula>
    </cfRule>
  </conditionalFormatting>
  <conditionalFormatting sqref="I1">
    <cfRule type="cellIs" dxfId="350" priority="45" operator="greaterThan">
      <formula>"@"</formula>
    </cfRule>
  </conditionalFormatting>
  <conditionalFormatting sqref="K3:K43">
    <cfRule type="expression" dxfId="349" priority="48">
      <formula>($A3="C")</formula>
    </cfRule>
    <cfRule type="expression" dxfId="348" priority="49">
      <formula>($A3="")</formula>
    </cfRule>
  </conditionalFormatting>
  <conditionalFormatting sqref="A3:A26 A29:A39 A42:A43">
    <cfRule type="expression" dxfId="347" priority="47">
      <formula>NOT(OR(A3="",A3="H",A3="E",A3="C",A3="!H",A3="Ref"))</formula>
    </cfRule>
  </conditionalFormatting>
  <conditionalFormatting sqref="H3:H43 J3:J43">
    <cfRule type="expression" dxfId="346" priority="46">
      <formula>($O3)</formula>
    </cfRule>
  </conditionalFormatting>
  <conditionalFormatting sqref="H3:H43">
    <cfRule type="expression" dxfId="345" priority="54">
      <formula>AND($M3&gt;0,$N3&lt;&gt;$J3)</formula>
    </cfRule>
    <cfRule type="expression" dxfId="344" priority="55">
      <formula>AND($M3&gt;0,$N3=$J3)</formula>
    </cfRule>
    <cfRule type="expression" dxfId="343" priority="56">
      <formula>($M3=-1)</formula>
    </cfRule>
  </conditionalFormatting>
  <conditionalFormatting sqref="J3:J43">
    <cfRule type="expression" dxfId="342" priority="41">
      <formula>AND(M3&gt;0,N3&lt;&gt;J3)</formula>
    </cfRule>
    <cfRule type="expression" dxfId="341" priority="57">
      <formula>AND($A3="E",$E3&lt;&gt;1)</formula>
    </cfRule>
  </conditionalFormatting>
  <conditionalFormatting sqref="B3:B25 B29:B39 B42:B43 B27">
    <cfRule type="expression" dxfId="340" priority="40">
      <formula>$P3</formula>
    </cfRule>
    <cfRule type="expression" dxfId="339" priority="44">
      <formula>AND($A3="!H",$B3&lt;&gt;OFFSET($K3,-1,0))</formula>
    </cfRule>
    <cfRule type="expression" dxfId="338" priority="58">
      <formula>AND($A3="E",$E3=1)</formula>
    </cfRule>
  </conditionalFormatting>
  <conditionalFormatting sqref="G3:G43">
    <cfRule type="expression" dxfId="337" priority="42">
      <formula>($T3=2)</formula>
    </cfRule>
    <cfRule type="expression" dxfId="336" priority="43">
      <formula>($T3=1)</formula>
    </cfRule>
  </conditionalFormatting>
  <conditionalFormatting sqref="B26:D26">
    <cfRule type="expression" dxfId="335" priority="35">
      <formula>($A26="!H")</formula>
    </cfRule>
    <cfRule type="expression" dxfId="334" priority="36">
      <formula>($A26="REF")</formula>
    </cfRule>
    <cfRule type="expression" dxfId="333" priority="37">
      <formula>($A26="C")</formula>
    </cfRule>
    <cfRule type="expression" dxfId="332" priority="38">
      <formula>($A26="H")</formula>
    </cfRule>
  </conditionalFormatting>
  <conditionalFormatting sqref="B26">
    <cfRule type="expression" dxfId="331" priority="33">
      <formula>$P26</formula>
    </cfRule>
    <cfRule type="expression" dxfId="330" priority="34">
      <formula>AND($A26="!H",$B26&lt;&gt;OFFSET($K26,-1,0))</formula>
    </cfRule>
    <cfRule type="expression" dxfId="329" priority="39">
      <formula>AND($A26="E",$E26=1)</formula>
    </cfRule>
  </conditionalFormatting>
  <conditionalFormatting sqref="D28">
    <cfRule type="expression" dxfId="328" priority="28">
      <formula>($A28="!H")</formula>
    </cfRule>
    <cfRule type="expression" dxfId="327" priority="29">
      <formula>($A28="REF")</formula>
    </cfRule>
    <cfRule type="expression" dxfId="326" priority="30">
      <formula>($A28="C")</formula>
    </cfRule>
    <cfRule type="expression" dxfId="325" priority="31">
      <formula>($A28="H")</formula>
    </cfRule>
  </conditionalFormatting>
  <conditionalFormatting sqref="A27">
    <cfRule type="expression" dxfId="324" priority="27">
      <formula>NOT(OR(A27="",A27="H",A27="E",A27="C",A27="!H",A27="Ref"))</formula>
    </cfRule>
  </conditionalFormatting>
  <conditionalFormatting sqref="A28:C28">
    <cfRule type="expression" dxfId="323" priority="20">
      <formula>($A28="!H")</formula>
    </cfRule>
    <cfRule type="expression" dxfId="322" priority="21">
      <formula>($A28="REF")</formula>
    </cfRule>
    <cfRule type="expression" dxfId="321" priority="22">
      <formula>($A28="C")</formula>
    </cfRule>
    <cfRule type="expression" dxfId="320" priority="23">
      <formula>($A28="H")</formula>
    </cfRule>
  </conditionalFormatting>
  <conditionalFormatting sqref="A28">
    <cfRule type="expression" dxfId="319" priority="19">
      <formula>NOT(OR(A28="",A28="H",A28="E",A28="C",A28="!H",A28="Ref"))</formula>
    </cfRule>
  </conditionalFormatting>
  <conditionalFormatting sqref="B28">
    <cfRule type="expression" dxfId="318" priority="17">
      <formula>$P28</formula>
    </cfRule>
    <cfRule type="expression" dxfId="317" priority="18">
      <formula>AND($A28="!H",$B28&lt;&gt;OFFSET($K28,-1,0))</formula>
    </cfRule>
    <cfRule type="expression" dxfId="316" priority="24">
      <formula>AND($A28="E",$E28=1)</formula>
    </cfRule>
  </conditionalFormatting>
  <conditionalFormatting sqref="A41:B41">
    <cfRule type="expression" dxfId="315" priority="12">
      <formula>($A41="!H")</formula>
    </cfRule>
    <cfRule type="expression" dxfId="314" priority="13">
      <formula>($A41="REF")</formula>
    </cfRule>
    <cfRule type="expression" dxfId="313" priority="14">
      <formula>($A41="C")</formula>
    </cfRule>
    <cfRule type="expression" dxfId="312" priority="15">
      <formula>($A41="H")</formula>
    </cfRule>
  </conditionalFormatting>
  <conditionalFormatting sqref="A41">
    <cfRule type="expression" dxfId="311" priority="11">
      <formula>NOT(OR(A41="",A41="H",A41="E",A41="C",A41="!H",A41="Ref"))</formula>
    </cfRule>
  </conditionalFormatting>
  <conditionalFormatting sqref="B41">
    <cfRule type="expression" dxfId="310" priority="9">
      <formula>$P41</formula>
    </cfRule>
    <cfRule type="expression" dxfId="309" priority="10">
      <formula>AND($A41="!H",$B41&lt;&gt;OFFSET($K41,-1,0))</formula>
    </cfRule>
    <cfRule type="expression" dxfId="308" priority="16">
      <formula>AND($A41="E",$E41=1)</formula>
    </cfRule>
  </conditionalFormatting>
  <conditionalFormatting sqref="A40:C40">
    <cfRule type="expression" dxfId="307" priority="4">
      <formula>($A40="!H")</formula>
    </cfRule>
    <cfRule type="expression" dxfId="306" priority="5">
      <formula>($A40="REF")</formula>
    </cfRule>
    <cfRule type="expression" dxfId="305" priority="6">
      <formula>($A40="C")</formula>
    </cfRule>
    <cfRule type="expression" dxfId="304" priority="7">
      <formula>($A40="H")</formula>
    </cfRule>
  </conditionalFormatting>
  <conditionalFormatting sqref="A40">
    <cfRule type="expression" dxfId="303" priority="3">
      <formula>NOT(OR(A40="",A40="H",A40="E",A40="C",A40="!H",A40="Ref"))</formula>
    </cfRule>
  </conditionalFormatting>
  <conditionalFormatting sqref="B40">
    <cfRule type="expression" dxfId="302" priority="1">
      <formula>$P40</formula>
    </cfRule>
    <cfRule type="expression" dxfId="301" priority="2">
      <formula>AND($A40="!H",$B40&lt;&gt;OFFSET($K40,-1,0))</formula>
    </cfRule>
    <cfRule type="expression" dxfId="300" priority="8">
      <formula>AND($A40="E",$E40=1)</formula>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56909-3F9B-4018-B059-F80821E6D160}">
  <sheetPr codeName="Sheet13">
    <tabColor rgb="FF92D050"/>
  </sheetPr>
  <dimension ref="A1:U36"/>
  <sheetViews>
    <sheetView workbookViewId="0">
      <selection activeCell="U3" sqref="U3"/>
    </sheetView>
  </sheetViews>
  <sheetFormatPr defaultRowHeight="15"/>
  <cols>
    <col min="1" max="1" width="5" customWidth="1"/>
    <col min="2" max="2" width="23" customWidth="1"/>
    <col min="4" max="4" width="6.42578125" customWidth="1"/>
    <col min="5" max="6" width="4.7109375" customWidth="1"/>
    <col min="7" max="7" width="1" customWidth="1"/>
    <col min="8" max="8" width="10.140625" customWidth="1"/>
    <col min="9" max="9" width="56.7109375" customWidth="1"/>
    <col min="10" max="10" width="43.5703125" customWidth="1"/>
    <col min="11" max="11" width="13.42578125" customWidth="1"/>
    <col min="12" max="12" width="5.5703125" customWidth="1"/>
    <col min="13" max="16" width="9.140625" hidden="1" customWidth="1"/>
    <col min="17" max="17" width="27.7109375" hidden="1" customWidth="1"/>
    <col min="18" max="20" width="9.140625" hidden="1" customWidth="1"/>
    <col min="21" max="21" width="58.42578125" customWidth="1"/>
  </cols>
  <sheetData>
    <row r="1" spans="1:21" ht="30" customHeight="1">
      <c r="I1" s="16" t="str">
        <f>IF(COUNTIFS(fTbl2[LT],"H")&lt;&gt;COUNTIFS(fTbl2[LT],"!H"),"Header imbalance # H &lt;&gt; # !H","")</f>
        <v/>
      </c>
    </row>
    <row r="2" spans="1:21">
      <c r="A2" s="14" t="s">
        <v>0</v>
      </c>
      <c r="B2" s="11" t="s">
        <v>1</v>
      </c>
      <c r="C2" s="11" t="s">
        <v>2</v>
      </c>
      <c r="D2" s="12" t="s">
        <v>3</v>
      </c>
      <c r="E2" s="12" t="s">
        <v>4</v>
      </c>
      <c r="F2" s="12" t="s">
        <v>5</v>
      </c>
      <c r="G2" s="12" t="s">
        <v>6</v>
      </c>
      <c r="H2" s="12" t="s">
        <v>7</v>
      </c>
      <c r="I2" s="18" t="s">
        <v>8</v>
      </c>
      <c r="J2" s="17" t="s">
        <v>9</v>
      </c>
      <c r="K2" s="30" t="s">
        <v>10</v>
      </c>
      <c r="L2" s="31" t="s">
        <v>11</v>
      </c>
      <c r="M2" s="13" t="s">
        <v>12</v>
      </c>
      <c r="N2" s="13" t="s">
        <v>13</v>
      </c>
      <c r="O2" s="13" t="s">
        <v>14</v>
      </c>
      <c r="P2" s="13" t="s">
        <v>15</v>
      </c>
      <c r="Q2" s="13" t="s">
        <v>16</v>
      </c>
      <c r="R2" s="13" t="s">
        <v>17</v>
      </c>
      <c r="S2" s="13" t="s">
        <v>18</v>
      </c>
      <c r="T2" s="13" t="s">
        <v>19</v>
      </c>
      <c r="U2" s="13" t="s">
        <v>20</v>
      </c>
    </row>
    <row r="3" spans="1:21">
      <c r="A3" s="15" t="s">
        <v>21</v>
      </c>
      <c r="B3" t="s">
        <v>284</v>
      </c>
      <c r="D3" s="1"/>
      <c r="E3" s="1">
        <v>1</v>
      </c>
      <c r="F3" s="1" t="s">
        <v>23</v>
      </c>
      <c r="G3" s="1"/>
      <c r="H3" s="1"/>
      <c r="I3" s="19" t="s">
        <v>285</v>
      </c>
      <c r="J3" s="28"/>
      <c r="K3" t="str">
        <f ca="1">IFERROR(IF(fTbl2[[#This Row],[LT]]="H",MID(fTbl2[[#This Row],[Hierarchy]],fTbl2[[#This Row],[pipe1]]+1,fTbl2[[#This Row],[pipe2]]-fTbl2[[#This Row],[pipe1]]-1),LEFT(fTbl2[[#This Row],[Hierarchy]],FIND("|",fTbl2[[#This Row],[Hierarchy]])-1)),"")</f>
        <v/>
      </c>
      <c r="L3" s="1">
        <f ca="1">IF(ROW()=3,0,OFFSET(fTbl2[[#This Row],[Lev]],-1,0)+IF(OFFSET(fTbl2[[#This Row],[LT]],-1,0)="H",1,IF(fTbl2[[#This Row],[LT]]="!H",-1,0)))</f>
        <v>0</v>
      </c>
      <c r="M3">
        <f>IF(RIGHT(fTbl2[[#This Row],[valid]],4)&lt;&gt;"list",0,IFERROR(MATCH(fTbl2[[#This Row],[Context]]&amp;"|"&amp;fTbl2[[#This Row],[Field]],Ltbl[ind],0),IFERROR(MATCH("ALL|"&amp;fTbl2[[#This Row],[Field]],Ltbl[ind],0),-1)))</f>
        <v>0</v>
      </c>
      <c r="N3" t="str" cm="1">
        <f t="array" ref="N3">IF(fTbl2[[#This Row],[listlu]]&lt;1,"",IF(INDEX(Ltbl[Generic],fTbl2[[#This Row],[listlu]])="","",INDEX(Ltbl[Generic],fTbl2[[#This Row],[listlu]])))</f>
        <v/>
      </c>
      <c r="O3">
        <f>IF(AND(fTbl2[[#This Row],[listlu]],ISERROR(FIND(",",fTbl2[[#This Row],[liMatch]])),fTbl2[[#This Row],[liMatch]]&lt;&gt;""),1,0)</f>
        <v>0</v>
      </c>
      <c r="P3">
        <f>IF(AND(fTbl2[[#This Row],[LT]]="Ref",ISNA(MATCH(fTbl2[[#This Row],[Field]],rTbl[Ref],0))),1,0)</f>
        <v>0</v>
      </c>
      <c r="Q3"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3">
        <f ca="1">FIND("~",SUBSTITUTE(fTbl2[[#This Row],[Hierarchy]],"|","~",1))</f>
        <v>8</v>
      </c>
      <c r="S3" t="e">
        <f ca="1">FIND("~",SUBSTITUTE(fTbl2[[#This Row],[Hierarchy]],"|","~",2))</f>
        <v>#VALUE!</v>
      </c>
      <c r="T3" cm="1">
        <f t="array" ref="T3">IF(fTbl2[[#This Row],[listlu]]=0,0,IF(INDEX(Ltbl[Context],fTbl2[[#This Row],[listlu]],1)="ALL",1,2))</f>
        <v>0</v>
      </c>
      <c r="U3" s="29"/>
    </row>
    <row r="4" spans="1:21">
      <c r="A4" s="15" t="s">
        <v>25</v>
      </c>
      <c r="B4" t="s">
        <v>26</v>
      </c>
      <c r="D4" s="1"/>
      <c r="E4" s="1"/>
      <c r="F4" s="1"/>
      <c r="G4" s="1"/>
      <c r="H4" s="1"/>
      <c r="I4" s="19" t="s">
        <v>27</v>
      </c>
      <c r="J4" s="28"/>
      <c r="K4" t="str">
        <f ca="1">IFERROR(IF(fTbl2[[#This Row],[LT]]="H",MID(fTbl2[[#This Row],[Hierarchy]],fTbl2[[#This Row],[pipe1]]+1,fTbl2[[#This Row],[pipe2]]-fTbl2[[#This Row],[pipe1]]-1),LEFT(fTbl2[[#This Row],[Hierarchy]],FIND("|",fTbl2[[#This Row],[Hierarchy]])-1)),"")</f>
        <v>iOrders</v>
      </c>
      <c r="L4" s="1">
        <f ca="1">IF(ROW()=3,0,OFFSET(fTbl2[[#This Row],[Lev]],-1,0)+IF(OFFSET(fTbl2[[#This Row],[LT]],-1,0)="H",1,IF(fTbl2[[#This Row],[LT]]="!H",-1,0)))</f>
        <v>1</v>
      </c>
      <c r="M4">
        <f>IF(RIGHT(fTbl2[[#This Row],[valid]],4)&lt;&gt;"list",0,IFERROR(MATCH(fTbl2[[#This Row],[Context]]&amp;"|"&amp;fTbl2[[#This Row],[Field]],Ltbl[ind],0),IFERROR(MATCH("ALL|"&amp;fTbl2[[#This Row],[Field]],Ltbl[ind],0),-1)))</f>
        <v>0</v>
      </c>
      <c r="N4" t="str" cm="1">
        <f t="array" ref="N4">IF(fTbl2[[#This Row],[listlu]]&lt;1,"",IF(INDEX(Ltbl[Generic],fTbl2[[#This Row],[listlu]])="","",INDEX(Ltbl[Generic],fTbl2[[#This Row],[listlu]])))</f>
        <v/>
      </c>
      <c r="O4">
        <f>IF(AND(fTbl2[[#This Row],[listlu]],ISERROR(FIND(",",fTbl2[[#This Row],[liMatch]])),fTbl2[[#This Row],[liMatch]]&lt;&gt;""),1,0)</f>
        <v>0</v>
      </c>
      <c r="P4">
        <f>IF(AND(fTbl2[[#This Row],[LT]]="Ref",ISNA(MATCH(fTbl2[[#This Row],[Field]],rTbl[Ref],0))),1,0)</f>
        <v>0</v>
      </c>
      <c r="Q4"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4">
        <f ca="1">FIND("~",SUBSTITUTE(fTbl2[[#This Row],[Hierarchy]],"|","~",1))</f>
        <v>8</v>
      </c>
      <c r="S4" t="e">
        <f ca="1">FIND("~",SUBSTITUTE(fTbl2[[#This Row],[Hierarchy]],"|","~",2))</f>
        <v>#VALUE!</v>
      </c>
      <c r="T4" cm="1">
        <f t="array" ref="T4">IF(fTbl2[[#This Row],[listlu]]=0,0,IF(INDEX(Ltbl[Context],fTbl2[[#This Row],[listlu]],1)="ALL",1,2))</f>
        <v>0</v>
      </c>
      <c r="U4" s="29"/>
    </row>
    <row r="5" spans="1:21">
      <c r="A5" s="15" t="s">
        <v>28</v>
      </c>
      <c r="B5" t="s">
        <v>29</v>
      </c>
      <c r="C5" t="s">
        <v>30</v>
      </c>
      <c r="D5" s="1">
        <v>15</v>
      </c>
      <c r="E5" s="1">
        <v>1</v>
      </c>
      <c r="F5" s="1"/>
      <c r="G5" s="1"/>
      <c r="H5" s="1" t="s">
        <v>31</v>
      </c>
      <c r="I5" s="19" t="s">
        <v>32</v>
      </c>
      <c r="J5" s="28" t="s">
        <v>286</v>
      </c>
      <c r="K5" t="str">
        <f ca="1">IFERROR(IF(fTbl2[[#This Row],[LT]]="H",MID(fTbl2[[#This Row],[Hierarchy]],fTbl2[[#This Row],[pipe1]]+1,fTbl2[[#This Row],[pipe2]]-fTbl2[[#This Row],[pipe1]]-1),LEFT(fTbl2[[#This Row],[Hierarchy]],FIND("|",fTbl2[[#This Row],[Hierarchy]])-1)),"")</f>
        <v>iOrders</v>
      </c>
      <c r="L5" s="1">
        <f ca="1">IF(ROW()=3,0,OFFSET(fTbl2[[#This Row],[Lev]],-1,0)+IF(OFFSET(fTbl2[[#This Row],[LT]],-1,0)="H",1,IF(fTbl2[[#This Row],[LT]]="!H",-1,0)))</f>
        <v>1</v>
      </c>
      <c r="M5">
        <f ca="1">IF(RIGHT(fTbl2[[#This Row],[valid]],4)&lt;&gt;"list",0,IFERROR(MATCH(fTbl2[[#This Row],[Context]]&amp;"|"&amp;fTbl2[[#This Row],[Field]],Ltbl[ind],0),IFERROR(MATCH("ALL|"&amp;fTbl2[[#This Row],[Field]],Ltbl[ind],0),-1)))</f>
        <v>1</v>
      </c>
      <c r="N5" t="str" cm="1">
        <f t="array" aca="1" ref="N5" ca="1">IF(fTbl2[[#This Row],[listlu]]&lt;1,"",IF(INDEX(Ltbl[Generic],fTbl2[[#This Row],[listlu]])="","",INDEX(Ltbl[Generic],fTbl2[[#This Row],[listlu]])))</f>
        <v>CUST</v>
      </c>
      <c r="O5">
        <f ca="1">IF(AND(fTbl2[[#This Row],[listlu]],ISERROR(FIND(",",fTbl2[[#This Row],[liMatch]])),fTbl2[[#This Row],[liMatch]]&lt;&gt;""),1,0)</f>
        <v>1</v>
      </c>
      <c r="P5">
        <f>IF(AND(fTbl2[[#This Row],[LT]]="Ref",ISNA(MATCH(fTbl2[[#This Row],[Field]],rTbl[Ref],0))),1,0)</f>
        <v>0</v>
      </c>
      <c r="Q5"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5">
        <f ca="1">FIND("~",SUBSTITUTE(fTbl2[[#This Row],[Hierarchy]],"|","~",1))</f>
        <v>8</v>
      </c>
      <c r="S5" t="e">
        <f ca="1">FIND("~",SUBSTITUTE(fTbl2[[#This Row],[Hierarchy]],"|","~",2))</f>
        <v>#VALUE!</v>
      </c>
      <c r="T5" cm="1">
        <f t="array" aca="1" ref="T5" ca="1">IF(fTbl2[[#This Row],[listlu]]=0,0,IF(INDEX(Ltbl[Context],fTbl2[[#This Row],[listlu]],1)="ALL",1,2))</f>
        <v>1</v>
      </c>
      <c r="U5" s="29"/>
    </row>
    <row r="6" spans="1:21">
      <c r="A6" s="15" t="s">
        <v>28</v>
      </c>
      <c r="B6" t="s">
        <v>34</v>
      </c>
      <c r="C6" t="s">
        <v>30</v>
      </c>
      <c r="D6" s="1">
        <v>15</v>
      </c>
      <c r="E6" s="1">
        <v>1</v>
      </c>
      <c r="F6" s="1"/>
      <c r="G6" s="1"/>
      <c r="H6" s="1" t="s">
        <v>31</v>
      </c>
      <c r="I6" s="19" t="s">
        <v>35</v>
      </c>
      <c r="J6" s="27" t="s">
        <v>206</v>
      </c>
      <c r="K6" t="str">
        <f ca="1">IFERROR(IF(fTbl2[[#This Row],[LT]]="H",MID(fTbl2[[#This Row],[Hierarchy]],fTbl2[[#This Row],[pipe1]]+1,fTbl2[[#This Row],[pipe2]]-fTbl2[[#This Row],[pipe1]]-1),LEFT(fTbl2[[#This Row],[Hierarchy]],FIND("|",fTbl2[[#This Row],[Hierarchy]])-1)),"")</f>
        <v>iOrders</v>
      </c>
      <c r="L6" s="1">
        <f ca="1">IF(ROW()=3,0,OFFSET(fTbl2[[#This Row],[Lev]],-1,0)+IF(OFFSET(fTbl2[[#This Row],[LT]],-1,0)="H",1,IF(fTbl2[[#This Row],[LT]]="!H",-1,0)))</f>
        <v>1</v>
      </c>
      <c r="M6">
        <f ca="1">IF(RIGHT(fTbl2[[#This Row],[valid]],4)&lt;&gt;"list",0,IFERROR(MATCH(fTbl2[[#This Row],[Context]]&amp;"|"&amp;fTbl2[[#This Row],[Field]],Ltbl[ind],0),IFERROR(MATCH("ALL|"&amp;fTbl2[[#This Row],[Field]],Ltbl[ind],0),-1)))</f>
        <v>6</v>
      </c>
      <c r="N6" t="str" cm="1">
        <f t="array" aca="1" ref="N6" ca="1">IF(fTbl2[[#This Row],[listlu]]&lt;1,"",IF(INDEX(Ltbl[Generic],fTbl2[[#This Row],[listlu]])="","",INDEX(Ltbl[Generic],fTbl2[[#This Row],[listlu]])))</f>
        <v>NORTHAMPTON</v>
      </c>
      <c r="O6">
        <f ca="1">IF(AND(fTbl2[[#This Row],[listlu]],ISERROR(FIND(",",fTbl2[[#This Row],[liMatch]])),fTbl2[[#This Row],[liMatch]]&lt;&gt;""),1,0)</f>
        <v>1</v>
      </c>
      <c r="P6">
        <f>IF(AND(fTbl2[[#This Row],[LT]]="Ref",ISNA(MATCH(fTbl2[[#This Row],[Field]],rTbl[Ref],0))),1,0)</f>
        <v>0</v>
      </c>
      <c r="Q6"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6">
        <f ca="1">FIND("~",SUBSTITUTE(fTbl2[[#This Row],[Hierarchy]],"|","~",1))</f>
        <v>8</v>
      </c>
      <c r="S6" t="e">
        <f ca="1">FIND("~",SUBSTITUTE(fTbl2[[#This Row],[Hierarchy]],"|","~",2))</f>
        <v>#VALUE!</v>
      </c>
      <c r="T6" cm="1">
        <f t="array" aca="1" ref="T6" ca="1">IF(fTbl2[[#This Row],[listlu]]=0,0,IF(INDEX(Ltbl[Context],fTbl2[[#This Row],[listlu]],1)="ALL",1,2))</f>
        <v>1</v>
      </c>
      <c r="U6" s="29"/>
    </row>
    <row r="7" spans="1:21">
      <c r="A7" s="15" t="s">
        <v>28</v>
      </c>
      <c r="B7" t="s">
        <v>37</v>
      </c>
      <c r="C7" t="s">
        <v>30</v>
      </c>
      <c r="D7" s="1">
        <v>15</v>
      </c>
      <c r="E7" s="1">
        <v>1</v>
      </c>
      <c r="F7" s="1"/>
      <c r="G7" s="1"/>
      <c r="H7" s="1" t="s">
        <v>31</v>
      </c>
      <c r="I7" s="19" t="s">
        <v>38</v>
      </c>
      <c r="J7" s="28" t="s">
        <v>286</v>
      </c>
      <c r="K7" t="str">
        <f ca="1">IFERROR(IF(fTbl2[[#This Row],[LT]]="H",MID(fTbl2[[#This Row],[Hierarchy]],fTbl2[[#This Row],[pipe1]]+1,fTbl2[[#This Row],[pipe2]]-fTbl2[[#This Row],[pipe1]]-1),LEFT(fTbl2[[#This Row],[Hierarchy]],FIND("|",fTbl2[[#This Row],[Hierarchy]])-1)),"")</f>
        <v>iOrders</v>
      </c>
      <c r="L7" s="1">
        <f ca="1">IF(ROW()=3,0,OFFSET(fTbl2[[#This Row],[Lev]],-1,0)+IF(OFFSET(fTbl2[[#This Row],[LT]],-1,0)="H",1,IF(fTbl2[[#This Row],[LT]]="!H",-1,0)))</f>
        <v>1</v>
      </c>
      <c r="M7">
        <f ca="1">IF(RIGHT(fTbl2[[#This Row],[valid]],4)&lt;&gt;"list",0,IFERROR(MATCH(fTbl2[[#This Row],[Context]]&amp;"|"&amp;fTbl2[[#This Row],[Field]],Ltbl[ind],0),IFERROR(MATCH("ALL|"&amp;fTbl2[[#This Row],[Field]],Ltbl[ind],0),-1)))</f>
        <v>9</v>
      </c>
      <c r="N7" t="str" cm="1">
        <f t="array" aca="1" ref="N7" ca="1">IF(fTbl2[[#This Row],[listlu]]&lt;1,"",IF(INDEX(Ltbl[Generic],fTbl2[[#This Row],[listlu]])="","",INDEX(Ltbl[Generic],fTbl2[[#This Row],[listlu]])))</f>
        <v>ECOM,WS,BULK</v>
      </c>
      <c r="O7">
        <f ca="1">IF(AND(fTbl2[[#This Row],[listlu]],ISERROR(FIND(",",fTbl2[[#This Row],[liMatch]])),fTbl2[[#This Row],[liMatch]]&lt;&gt;""),1,0)</f>
        <v>0</v>
      </c>
      <c r="P7">
        <f>IF(AND(fTbl2[[#This Row],[LT]]="Ref",ISNA(MATCH(fTbl2[[#This Row],[Field]],rTbl[Ref],0))),1,0)</f>
        <v>0</v>
      </c>
      <c r="Q7"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7">
        <f ca="1">FIND("~",SUBSTITUTE(fTbl2[[#This Row],[Hierarchy]],"|","~",1))</f>
        <v>8</v>
      </c>
      <c r="S7" t="e">
        <f ca="1">FIND("~",SUBSTITUTE(fTbl2[[#This Row],[Hierarchy]],"|","~",2))</f>
        <v>#VALUE!</v>
      </c>
      <c r="T7" cm="1">
        <f t="array" aca="1" ref="T7" ca="1">IF(fTbl2[[#This Row],[listlu]]=0,0,IF(INDEX(Ltbl[Context],fTbl2[[#This Row],[listlu]],1)="ALL",1,2))</f>
        <v>1</v>
      </c>
      <c r="U7" s="29"/>
    </row>
    <row r="8" spans="1:21">
      <c r="A8" s="15" t="s">
        <v>28</v>
      </c>
      <c r="B8" t="s">
        <v>40</v>
      </c>
      <c r="C8" t="s">
        <v>30</v>
      </c>
      <c r="D8" s="1">
        <v>250</v>
      </c>
      <c r="E8" s="1">
        <v>0</v>
      </c>
      <c r="F8" s="1"/>
      <c r="G8" s="1"/>
      <c r="H8" s="1"/>
      <c r="I8" s="19" t="s">
        <v>41</v>
      </c>
      <c r="J8" s="28" t="s">
        <v>42</v>
      </c>
      <c r="K8" t="str">
        <f ca="1">IFERROR(IF(fTbl2[[#This Row],[LT]]="H",MID(fTbl2[[#This Row],[Hierarchy]],fTbl2[[#This Row],[pipe1]]+1,fTbl2[[#This Row],[pipe2]]-fTbl2[[#This Row],[pipe1]]-1),LEFT(fTbl2[[#This Row],[Hierarchy]],FIND("|",fTbl2[[#This Row],[Hierarchy]])-1)),"")</f>
        <v>iOrders</v>
      </c>
      <c r="L8" s="1">
        <f ca="1">IF(ROW()=3,0,OFFSET(fTbl2[[#This Row],[Lev]],-1,0)+IF(OFFSET(fTbl2[[#This Row],[LT]],-1,0)="H",1,IF(fTbl2[[#This Row],[LT]]="!H",-1,0)))</f>
        <v>1</v>
      </c>
      <c r="M8">
        <f>IF(RIGHT(fTbl2[[#This Row],[valid]],4)&lt;&gt;"list",0,IFERROR(MATCH(fTbl2[[#This Row],[Context]]&amp;"|"&amp;fTbl2[[#This Row],[Field]],Ltbl[ind],0),IFERROR(MATCH("ALL|"&amp;fTbl2[[#This Row],[Field]],Ltbl[ind],0),-1)))</f>
        <v>0</v>
      </c>
      <c r="N8" t="str" cm="1">
        <f t="array" ref="N8">IF(fTbl2[[#This Row],[listlu]]&lt;1,"",IF(INDEX(Ltbl[Generic],fTbl2[[#This Row],[listlu]])="","",INDEX(Ltbl[Generic],fTbl2[[#This Row],[listlu]])))</f>
        <v/>
      </c>
      <c r="O8">
        <f>IF(AND(fTbl2[[#This Row],[listlu]],ISERROR(FIND(",",fTbl2[[#This Row],[liMatch]])),fTbl2[[#This Row],[liMatch]]&lt;&gt;""),1,0)</f>
        <v>0</v>
      </c>
      <c r="P8">
        <f>IF(AND(fTbl2[[#This Row],[LT]]="Ref",ISNA(MATCH(fTbl2[[#This Row],[Field]],rTbl[Ref],0))),1,0)</f>
        <v>0</v>
      </c>
      <c r="Q8"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8">
        <f ca="1">FIND("~",SUBSTITUTE(fTbl2[[#This Row],[Hierarchy]],"|","~",1))</f>
        <v>8</v>
      </c>
      <c r="S8" t="e">
        <f ca="1">FIND("~",SUBSTITUTE(fTbl2[[#This Row],[Hierarchy]],"|","~",2))</f>
        <v>#VALUE!</v>
      </c>
      <c r="T8" cm="1">
        <f t="array" ref="T8">IF(fTbl2[[#This Row],[listlu]]=0,0,IF(INDEX(Ltbl[Context],fTbl2[[#This Row],[listlu]],1)="ALL",1,2))</f>
        <v>0</v>
      </c>
      <c r="U8" s="29"/>
    </row>
    <row r="9" spans="1:21">
      <c r="A9" s="15" t="s">
        <v>28</v>
      </c>
      <c r="B9" t="s">
        <v>43</v>
      </c>
      <c r="C9" t="s">
        <v>30</v>
      </c>
      <c r="D9" s="1">
        <v>50</v>
      </c>
      <c r="E9" s="1">
        <v>0</v>
      </c>
      <c r="F9" s="1"/>
      <c r="G9" s="1"/>
      <c r="H9" s="1"/>
      <c r="I9" s="19" t="s">
        <v>44</v>
      </c>
      <c r="J9" s="28" t="s">
        <v>45</v>
      </c>
      <c r="K9" t="str">
        <f ca="1">IFERROR(IF(fTbl2[[#This Row],[LT]]="H",MID(fTbl2[[#This Row],[Hierarchy]],fTbl2[[#This Row],[pipe1]]+1,fTbl2[[#This Row],[pipe2]]-fTbl2[[#This Row],[pipe1]]-1),LEFT(fTbl2[[#This Row],[Hierarchy]],FIND("|",fTbl2[[#This Row],[Hierarchy]])-1)),"")</f>
        <v>iOrders</v>
      </c>
      <c r="L9" s="1">
        <f ca="1">IF(ROW()=3,0,OFFSET(fTbl2[[#This Row],[Lev]],-1,0)+IF(OFFSET(fTbl2[[#This Row],[LT]],-1,0)="H",1,IF(fTbl2[[#This Row],[LT]]="!H",-1,0)))</f>
        <v>1</v>
      </c>
      <c r="M9">
        <f>IF(RIGHT(fTbl2[[#This Row],[valid]],4)&lt;&gt;"list",0,IFERROR(MATCH(fTbl2[[#This Row],[Context]]&amp;"|"&amp;fTbl2[[#This Row],[Field]],Ltbl[ind],0),IFERROR(MATCH("ALL|"&amp;fTbl2[[#This Row],[Field]],Ltbl[ind],0),-1)))</f>
        <v>0</v>
      </c>
      <c r="N9" t="str" cm="1">
        <f t="array" ref="N9">IF(fTbl2[[#This Row],[listlu]]&lt;1,"",IF(INDEX(Ltbl[Generic],fTbl2[[#This Row],[listlu]])="","",INDEX(Ltbl[Generic],fTbl2[[#This Row],[listlu]])))</f>
        <v/>
      </c>
      <c r="O9">
        <f>IF(AND(fTbl2[[#This Row],[listlu]],ISERROR(FIND(",",fTbl2[[#This Row],[liMatch]])),fTbl2[[#This Row],[liMatch]]&lt;&gt;""),1,0)</f>
        <v>0</v>
      </c>
      <c r="P9">
        <f>IF(AND(fTbl2[[#This Row],[LT]]="Ref",ISNA(MATCH(fTbl2[[#This Row],[Field]],rTbl[Ref],0))),1,0)</f>
        <v>0</v>
      </c>
      <c r="Q9"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9">
        <f ca="1">FIND("~",SUBSTITUTE(fTbl2[[#This Row],[Hierarchy]],"|","~",1))</f>
        <v>8</v>
      </c>
      <c r="S9" t="e">
        <f ca="1">FIND("~",SUBSTITUTE(fTbl2[[#This Row],[Hierarchy]],"|","~",2))</f>
        <v>#VALUE!</v>
      </c>
      <c r="T9" cm="1">
        <f t="array" ref="T9">IF(fTbl2[[#This Row],[listlu]]=0,0,IF(INDEX(Ltbl[Context],fTbl2[[#This Row],[listlu]],1)="ALL",1,2))</f>
        <v>0</v>
      </c>
      <c r="U9" s="29"/>
    </row>
    <row r="10" spans="1:21">
      <c r="A10" s="15" t="s">
        <v>25</v>
      </c>
      <c r="B10" t="s">
        <v>53</v>
      </c>
      <c r="D10" s="1"/>
      <c r="E10" s="1"/>
      <c r="F10" s="1"/>
      <c r="G10" s="1"/>
      <c r="H10" s="1"/>
      <c r="I10" s="19" t="s">
        <v>54</v>
      </c>
      <c r="J10" s="28"/>
      <c r="K10" t="str">
        <f ca="1">IFERROR(IF(fTbl2[[#This Row],[LT]]="H",MID(fTbl2[[#This Row],[Hierarchy]],fTbl2[[#This Row],[pipe1]]+1,fTbl2[[#This Row],[pipe2]]-fTbl2[[#This Row],[pipe1]]-1),LEFT(fTbl2[[#This Row],[Hierarchy]],FIND("|",fTbl2[[#This Row],[Hierarchy]])-1)),"")</f>
        <v>iOrders</v>
      </c>
      <c r="L10" s="1">
        <f ca="1">IF(ROW()=3,0,OFFSET(fTbl2[[#This Row],[Lev]],-1,0)+IF(OFFSET(fTbl2[[#This Row],[LT]],-1,0)="H",1,IF(fTbl2[[#This Row],[LT]]="!H",-1,0)))</f>
        <v>1</v>
      </c>
      <c r="M10">
        <f>IF(RIGHT(fTbl2[[#This Row],[valid]],4)&lt;&gt;"list",0,IFERROR(MATCH(fTbl2[[#This Row],[Context]]&amp;"|"&amp;fTbl2[[#This Row],[Field]],Ltbl[ind],0),IFERROR(MATCH("ALL|"&amp;fTbl2[[#This Row],[Field]],Ltbl[ind],0),-1)))</f>
        <v>0</v>
      </c>
      <c r="N10" t="str" cm="1">
        <f t="array" ref="N10">IF(fTbl2[[#This Row],[listlu]]&lt;1,"",IF(INDEX(Ltbl[Generic],fTbl2[[#This Row],[listlu]])="","",INDEX(Ltbl[Generic],fTbl2[[#This Row],[listlu]])))</f>
        <v/>
      </c>
      <c r="O10">
        <f>IF(AND(fTbl2[[#This Row],[listlu]],ISERROR(FIND(",",fTbl2[[#This Row],[liMatch]])),fTbl2[[#This Row],[liMatch]]&lt;&gt;""),1,0)</f>
        <v>0</v>
      </c>
      <c r="P10">
        <f>IF(AND(fTbl2[[#This Row],[LT]]="Ref",ISNA(MATCH(fTbl2[[#This Row],[Field]],rTbl[Ref],0))),1,0)</f>
        <v>0</v>
      </c>
      <c r="Q10"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10">
        <f ca="1">FIND("~",SUBSTITUTE(fTbl2[[#This Row],[Hierarchy]],"|","~",1))</f>
        <v>8</v>
      </c>
      <c r="S10" t="e">
        <f ca="1">FIND("~",SUBSTITUTE(fTbl2[[#This Row],[Hierarchy]],"|","~",2))</f>
        <v>#VALUE!</v>
      </c>
      <c r="T10" cm="1">
        <f t="array" ref="T10">IF(fTbl2[[#This Row],[listlu]]=0,0,IF(INDEX(Ltbl[Context],fTbl2[[#This Row],[listlu]],1)="ALL",1,2))</f>
        <v>0</v>
      </c>
      <c r="U10" s="29"/>
    </row>
    <row r="11" spans="1:21">
      <c r="A11" s="15" t="s">
        <v>28</v>
      </c>
      <c r="B11" t="s">
        <v>55</v>
      </c>
      <c r="C11" t="s">
        <v>30</v>
      </c>
      <c r="D11" s="1">
        <v>5</v>
      </c>
      <c r="E11" s="1">
        <v>1</v>
      </c>
      <c r="F11" s="1"/>
      <c r="G11" s="1"/>
      <c r="H11" s="1" t="s">
        <v>56</v>
      </c>
      <c r="I11" s="19" t="s">
        <v>287</v>
      </c>
      <c r="J11" s="28" t="s">
        <v>288</v>
      </c>
      <c r="K11" t="str">
        <f ca="1">IFERROR(IF(fTbl2[[#This Row],[LT]]="H",MID(fTbl2[[#This Row],[Hierarchy]],fTbl2[[#This Row],[pipe1]]+1,fTbl2[[#This Row],[pipe2]]-fTbl2[[#This Row],[pipe1]]-1),LEFT(fTbl2[[#This Row],[Hierarchy]],FIND("|",fTbl2[[#This Row],[Hierarchy]])-1)),"")</f>
        <v>iOrders</v>
      </c>
      <c r="L11" s="1">
        <f ca="1">IF(ROW()=3,0,OFFSET(fTbl2[[#This Row],[Lev]],-1,0)+IF(OFFSET(fTbl2[[#This Row],[LT]],-1,0)="H",1,IF(fTbl2[[#This Row],[LT]]="!H",-1,0)))</f>
        <v>1</v>
      </c>
      <c r="M11">
        <f ca="1">IF(RIGHT(fTbl2[[#This Row],[valid]],4)&lt;&gt;"list",0,IFERROR(MATCH(fTbl2[[#This Row],[Context]]&amp;"|"&amp;fTbl2[[#This Row],[Field]],Ltbl[ind],0),IFERROR(MATCH("ALL|"&amp;fTbl2[[#This Row],[Field]],Ltbl[ind],0),-1)))</f>
        <v>19</v>
      </c>
      <c r="N11" t="str" cm="1">
        <f t="array" aca="1" ref="N11" ca="1">IF(fTbl2[[#This Row],[listlu]]&lt;1,"",IF(INDEX(Ltbl[Generic],fTbl2[[#This Row],[listlu]])="","",INDEX(Ltbl[Generic],fTbl2[[#This Row],[listlu]])))</f>
        <v>PO,TOI,ASN</v>
      </c>
      <c r="O11">
        <f ca="1">IF(AND(fTbl2[[#This Row],[listlu]],ISERROR(FIND(",",fTbl2[[#This Row],[liMatch]])),fTbl2[[#This Row],[liMatch]]&lt;&gt;""),1,0)</f>
        <v>0</v>
      </c>
      <c r="P11">
        <f>IF(AND(fTbl2[[#This Row],[LT]]="Ref",ISNA(MATCH(fTbl2[[#This Row],[Field]],rTbl[Ref],0))),1,0)</f>
        <v>0</v>
      </c>
      <c r="Q11"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11">
        <f ca="1">FIND("~",SUBSTITUTE(fTbl2[[#This Row],[Hierarchy]],"|","~",1))</f>
        <v>8</v>
      </c>
      <c r="S11" t="e">
        <f ca="1">FIND("~",SUBSTITUTE(fTbl2[[#This Row],[Hierarchy]],"|","~",2))</f>
        <v>#VALUE!</v>
      </c>
      <c r="T11" cm="1">
        <f t="array" aca="1" ref="T11" ca="1">IF(fTbl2[[#This Row],[listlu]]=0,0,IF(INDEX(Ltbl[Context],fTbl2[[#This Row],[listlu]],1)="ALL",1,2))</f>
        <v>2</v>
      </c>
      <c r="U11" s="29"/>
    </row>
    <row r="12" spans="1:21">
      <c r="A12" s="15" t="s">
        <v>28</v>
      </c>
      <c r="B12" t="s">
        <v>60</v>
      </c>
      <c r="C12" t="s">
        <v>30</v>
      </c>
      <c r="D12" s="1">
        <v>5</v>
      </c>
      <c r="E12" s="1">
        <v>1</v>
      </c>
      <c r="F12" s="1"/>
      <c r="G12" s="1"/>
      <c r="H12" s="1" t="s">
        <v>56</v>
      </c>
      <c r="I12" s="19" t="s">
        <v>61</v>
      </c>
      <c r="J12" s="28" t="s">
        <v>62</v>
      </c>
      <c r="K12" t="str">
        <f ca="1">IFERROR(IF(fTbl2[[#This Row],[LT]]="H",MID(fTbl2[[#This Row],[Hierarchy]],fTbl2[[#This Row],[pipe1]]+1,fTbl2[[#This Row],[pipe2]]-fTbl2[[#This Row],[pipe1]]-1),LEFT(fTbl2[[#This Row],[Hierarchy]],FIND("|",fTbl2[[#This Row],[Hierarchy]])-1)),"")</f>
        <v>iOrders</v>
      </c>
      <c r="L12" s="1">
        <f ca="1">IF(ROW()=3,0,OFFSET(fTbl2[[#This Row],[Lev]],-1,0)+IF(OFFSET(fTbl2[[#This Row],[LT]],-1,0)="H",1,IF(fTbl2[[#This Row],[LT]]="!H",-1,0)))</f>
        <v>1</v>
      </c>
      <c r="M12">
        <f ca="1">IF(RIGHT(fTbl2[[#This Row],[valid]],4)&lt;&gt;"list",0,IFERROR(MATCH(fTbl2[[#This Row],[Context]]&amp;"|"&amp;fTbl2[[#This Row],[Field]],Ltbl[ind],0),IFERROR(MATCH("ALL|"&amp;fTbl2[[#This Row],[Field]],Ltbl[ind],0),-1)))</f>
        <v>8</v>
      </c>
      <c r="N12" t="str" cm="1">
        <f t="array" aca="1" ref="N12" ca="1">IF(fTbl2[[#This Row],[listlu]]&lt;1,"",IF(INDEX(Ltbl[Generic],fTbl2[[#This Row],[listlu]])="","",INDEX(Ltbl[Generic],fTbl2[[#This Row],[listlu]])))</f>
        <v>NEW,UPD</v>
      </c>
      <c r="O12">
        <f ca="1">IF(AND(fTbl2[[#This Row],[listlu]],ISERROR(FIND(",",fTbl2[[#This Row],[liMatch]])),fTbl2[[#This Row],[liMatch]]&lt;&gt;""),1,0)</f>
        <v>0</v>
      </c>
      <c r="P12">
        <f>IF(AND(fTbl2[[#This Row],[LT]]="Ref",ISNA(MATCH(fTbl2[[#This Row],[Field]],rTbl[Ref],0))),1,0)</f>
        <v>0</v>
      </c>
      <c r="Q12"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12">
        <f ca="1">FIND("~",SUBSTITUTE(fTbl2[[#This Row],[Hierarchy]],"|","~",1))</f>
        <v>8</v>
      </c>
      <c r="S12" t="e">
        <f ca="1">FIND("~",SUBSTITUTE(fTbl2[[#This Row],[Hierarchy]],"|","~",2))</f>
        <v>#VALUE!</v>
      </c>
      <c r="T12" cm="1">
        <f t="array" aca="1" ref="T12" ca="1">IF(fTbl2[[#This Row],[listlu]]=0,0,IF(INDEX(Ltbl[Context],fTbl2[[#This Row],[listlu]],1)="ALL",1,2))</f>
        <v>1</v>
      </c>
      <c r="U12" s="29"/>
    </row>
    <row r="13" spans="1:21">
      <c r="A13" s="15" t="s">
        <v>28</v>
      </c>
      <c r="B13" t="s">
        <v>64</v>
      </c>
      <c r="C13" t="s">
        <v>30</v>
      </c>
      <c r="D13" s="1">
        <v>10</v>
      </c>
      <c r="E13" s="1">
        <v>1</v>
      </c>
      <c r="F13" s="1"/>
      <c r="G13" s="1"/>
      <c r="H13" s="1" t="s">
        <v>56</v>
      </c>
      <c r="I13" s="19" t="s">
        <v>289</v>
      </c>
      <c r="J13" s="28" t="s">
        <v>290</v>
      </c>
      <c r="K13" t="str">
        <f ca="1">IFERROR(IF(fTbl2[[#This Row],[LT]]="H",MID(fTbl2[[#This Row],[Hierarchy]],fTbl2[[#This Row],[pipe1]]+1,fTbl2[[#This Row],[pipe2]]-fTbl2[[#This Row],[pipe1]]-1),LEFT(fTbl2[[#This Row],[Hierarchy]],FIND("|",fTbl2[[#This Row],[Hierarchy]])-1)),"")</f>
        <v>iOrders</v>
      </c>
      <c r="L13" s="1">
        <f ca="1">IF(ROW()=3,0,OFFSET(fTbl2[[#This Row],[Lev]],-1,0)+IF(OFFSET(fTbl2[[#This Row],[LT]],-1,0)="H",1,IF(fTbl2[[#This Row],[LT]]="!H",-1,0)))</f>
        <v>1</v>
      </c>
      <c r="M13">
        <f ca="1">IF(RIGHT(fTbl2[[#This Row],[valid]],4)&lt;&gt;"list",0,IFERROR(MATCH(fTbl2[[#This Row],[Context]]&amp;"|"&amp;fTbl2[[#This Row],[Field]],Ltbl[ind],0),IFERROR(MATCH("ALL|"&amp;fTbl2[[#This Row],[Field]],Ltbl[ind],0),-1)))</f>
        <v>18</v>
      </c>
      <c r="N13" t="str" cm="1">
        <f t="array" aca="1" ref="N13" ca="1">IF(fTbl2[[#This Row],[listlu]]&lt;1,"",IF(INDEX(Ltbl[Generic],fTbl2[[#This Row],[listlu]])="","",INDEX(Ltbl[Generic],fTbl2[[#This Row],[listlu]])))</f>
        <v>STD,EXP</v>
      </c>
      <c r="O13">
        <f ca="1">IF(AND(fTbl2[[#This Row],[listlu]],ISERROR(FIND(",",fTbl2[[#This Row],[liMatch]])),fTbl2[[#This Row],[liMatch]]&lt;&gt;""),1,0)</f>
        <v>0</v>
      </c>
      <c r="P13">
        <f>IF(AND(fTbl2[[#This Row],[LT]]="Ref",ISNA(MATCH(fTbl2[[#This Row],[Field]],rTbl[Ref],0))),1,0)</f>
        <v>0</v>
      </c>
      <c r="Q13"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13">
        <f ca="1">FIND("~",SUBSTITUTE(fTbl2[[#This Row],[Hierarchy]],"|","~",1))</f>
        <v>8</v>
      </c>
      <c r="S13" t="e">
        <f ca="1">FIND("~",SUBSTITUTE(fTbl2[[#This Row],[Hierarchy]],"|","~",2))</f>
        <v>#VALUE!</v>
      </c>
      <c r="T13" cm="1">
        <f t="array" aca="1" ref="T13" ca="1">IF(fTbl2[[#This Row],[listlu]]=0,0,IF(INDEX(Ltbl[Context],fTbl2[[#This Row],[listlu]],1)="ALL",1,2))</f>
        <v>2</v>
      </c>
      <c r="U13" s="29"/>
    </row>
    <row r="14" spans="1:21" ht="15" customHeight="1">
      <c r="A14" s="15" t="s">
        <v>28</v>
      </c>
      <c r="B14" t="s">
        <v>98</v>
      </c>
      <c r="C14" t="s">
        <v>231</v>
      </c>
      <c r="D14" s="1"/>
      <c r="E14" s="1">
        <v>1</v>
      </c>
      <c r="F14" s="1"/>
      <c r="G14" s="1"/>
      <c r="H14" s="1"/>
      <c r="I14" s="19" t="s">
        <v>339</v>
      </c>
      <c r="J14" s="27" t="s">
        <v>96</v>
      </c>
      <c r="K14" t="str">
        <f ca="1">IFERROR(IF(fTbl2[[#This Row],[LT]]="H",MID(fTbl2[[#This Row],[Hierarchy]],fTbl2[[#This Row],[pipe1]]+1,fTbl2[[#This Row],[pipe2]]-fTbl2[[#This Row],[pipe1]]-1),LEFT(fTbl2[[#This Row],[Hierarchy]],FIND("|",fTbl2[[#This Row],[Hierarchy]])-1)),"")</f>
        <v>iOrders</v>
      </c>
      <c r="L14" s="1">
        <f ca="1">IF(ROW()=3,0,OFFSET(fTbl2[[#This Row],[Lev]],-1,0)+IF(OFFSET(fTbl2[[#This Row],[LT]],-1,0)="H",1,IF(fTbl2[[#This Row],[LT]]="!H",-1,0)))</f>
        <v>1</v>
      </c>
      <c r="M14">
        <f>IF(RIGHT(fTbl2[[#This Row],[valid]],4)&lt;&gt;"list",0,IFERROR(MATCH(fTbl2[[#This Row],[Context]]&amp;"|"&amp;fTbl2[[#This Row],[Field]],Ltbl[ind],0),IFERROR(MATCH("ALL|"&amp;fTbl2[[#This Row],[Field]],Ltbl[ind],0),-1)))</f>
        <v>0</v>
      </c>
      <c r="N14" t="str" cm="1">
        <f t="array" ref="N14">IF(fTbl2[[#This Row],[listlu]]&lt;1,"",IF(INDEX(Ltbl[Generic],fTbl2[[#This Row],[listlu]])="","",INDEX(Ltbl[Generic],fTbl2[[#This Row],[listlu]])))</f>
        <v/>
      </c>
      <c r="O14">
        <f>IF(AND(fTbl2[[#This Row],[listlu]],ISERROR(FIND(",",fTbl2[[#This Row],[liMatch]])),fTbl2[[#This Row],[liMatch]]&lt;&gt;""),1,0)</f>
        <v>0</v>
      </c>
      <c r="P14">
        <f>IF(AND(fTbl2[[#This Row],[LT]]="Ref",ISNA(MATCH(fTbl2[[#This Row],[Field]],rTbl[Ref],0))),1,0)</f>
        <v>0</v>
      </c>
      <c r="Q14"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14">
        <f ca="1">FIND("~",SUBSTITUTE(fTbl2[[#This Row],[Hierarchy]],"|","~",1))</f>
        <v>8</v>
      </c>
      <c r="S14" t="e">
        <f ca="1">FIND("~",SUBSTITUTE(fTbl2[[#This Row],[Hierarchy]],"|","~",2))</f>
        <v>#VALUE!</v>
      </c>
      <c r="T14" cm="1">
        <f t="array" ref="T14">IF(fTbl2[[#This Row],[listlu]]=0,0,IF(INDEX(Ltbl[Context],fTbl2[[#This Row],[listlu]],1)="ALL",1,2))</f>
        <v>0</v>
      </c>
      <c r="U14" s="29"/>
    </row>
    <row r="15" spans="1:21">
      <c r="A15" s="15" t="s">
        <v>25</v>
      </c>
      <c r="B15" t="s">
        <v>101</v>
      </c>
      <c r="D15" s="1"/>
      <c r="E15" s="1"/>
      <c r="F15" s="1"/>
      <c r="G15" s="1"/>
      <c r="H15" s="1"/>
      <c r="I15" s="19" t="s">
        <v>102</v>
      </c>
      <c r="J15" s="28"/>
      <c r="K15" t="str">
        <f ca="1">IFERROR(IF(fTbl2[[#This Row],[LT]]="H",MID(fTbl2[[#This Row],[Hierarchy]],fTbl2[[#This Row],[pipe1]]+1,fTbl2[[#This Row],[pipe2]]-fTbl2[[#This Row],[pipe1]]-1),LEFT(fTbl2[[#This Row],[Hierarchy]],FIND("|",fTbl2[[#This Row],[Hierarchy]])-1)),"")</f>
        <v>iOrders</v>
      </c>
      <c r="L15" s="1">
        <f ca="1">IF(ROW()=3,0,OFFSET(fTbl2[[#This Row],[Lev]],-1,0)+IF(OFFSET(fTbl2[[#This Row],[LT]],-1,0)="H",1,IF(fTbl2[[#This Row],[LT]]="!H",-1,0)))</f>
        <v>1</v>
      </c>
      <c r="M15">
        <f>IF(RIGHT(fTbl2[[#This Row],[valid]],4)&lt;&gt;"list",0,IFERROR(MATCH(fTbl2[[#This Row],[Context]]&amp;"|"&amp;fTbl2[[#This Row],[Field]],Ltbl[ind],0),IFERROR(MATCH("ALL|"&amp;fTbl2[[#This Row],[Field]],Ltbl[ind],0),-1)))</f>
        <v>0</v>
      </c>
      <c r="N15" t="str" cm="1">
        <f t="array" ref="N15">IF(fTbl2[[#This Row],[listlu]]&lt;1,"",IF(INDEX(Ltbl[Generic],fTbl2[[#This Row],[listlu]])="","",INDEX(Ltbl[Generic],fTbl2[[#This Row],[listlu]])))</f>
        <v/>
      </c>
      <c r="O15">
        <f>IF(AND(fTbl2[[#This Row],[listlu]],ISERROR(FIND(",",fTbl2[[#This Row],[liMatch]])),fTbl2[[#This Row],[liMatch]]&lt;&gt;""),1,0)</f>
        <v>0</v>
      </c>
      <c r="P15">
        <f>IF(AND(fTbl2[[#This Row],[LT]]="Ref",ISNA(MATCH(fTbl2[[#This Row],[Field]],rTbl[Ref],0))),1,0)</f>
        <v>0</v>
      </c>
      <c r="Q15"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15">
        <f ca="1">FIND("~",SUBSTITUTE(fTbl2[[#This Row],[Hierarchy]],"|","~",1))</f>
        <v>8</v>
      </c>
      <c r="S15" t="e">
        <f ca="1">FIND("~",SUBSTITUTE(fTbl2[[#This Row],[Hierarchy]],"|","~",2))</f>
        <v>#VALUE!</v>
      </c>
      <c r="T15" cm="1">
        <f t="array" ref="T15">IF(fTbl2[[#This Row],[listlu]]=0,0,IF(INDEX(Ltbl[Context],fTbl2[[#This Row],[listlu]],1)="ALL",1,2))</f>
        <v>0</v>
      </c>
      <c r="U15" s="29"/>
    </row>
    <row r="16" spans="1:21">
      <c r="A16" s="15" t="s">
        <v>28</v>
      </c>
      <c r="B16" t="s">
        <v>103</v>
      </c>
      <c r="C16" t="s">
        <v>30</v>
      </c>
      <c r="D16" s="1">
        <v>20</v>
      </c>
      <c r="E16" s="1">
        <v>1</v>
      </c>
      <c r="F16" s="1"/>
      <c r="G16" s="1"/>
      <c r="H16" s="1" t="s">
        <v>104</v>
      </c>
      <c r="I16" s="19" t="s">
        <v>340</v>
      </c>
      <c r="J16" s="28" t="s">
        <v>45</v>
      </c>
      <c r="K16" t="str">
        <f ca="1">IFERROR(IF(fTbl2[[#This Row],[LT]]="H",MID(fTbl2[[#This Row],[Hierarchy]],fTbl2[[#This Row],[pipe1]]+1,fTbl2[[#This Row],[pipe2]]-fTbl2[[#This Row],[pipe1]]-1),LEFT(fTbl2[[#This Row],[Hierarchy]],FIND("|",fTbl2[[#This Row],[Hierarchy]])-1)),"")</f>
        <v>iOrders</v>
      </c>
      <c r="L16" s="1">
        <f ca="1">IF(ROW()=3,0,OFFSET(fTbl2[[#This Row],[Lev]],-1,0)+IF(OFFSET(fTbl2[[#This Row],[LT]],-1,0)="H",1,IF(fTbl2[[#This Row],[LT]]="!H",-1,0)))</f>
        <v>1</v>
      </c>
      <c r="M16">
        <f>IF(RIGHT(fTbl2[[#This Row],[valid]],4)&lt;&gt;"list",0,IFERROR(MATCH(fTbl2[[#This Row],[Context]]&amp;"|"&amp;fTbl2[[#This Row],[Field]],Ltbl[ind],0),IFERROR(MATCH("ALL|"&amp;fTbl2[[#This Row],[Field]],Ltbl[ind],0),-1)))</f>
        <v>0</v>
      </c>
      <c r="N16" t="str" cm="1">
        <f t="array" ref="N16">IF(fTbl2[[#This Row],[listlu]]&lt;1,"",IF(INDEX(Ltbl[Generic],fTbl2[[#This Row],[listlu]])="","",INDEX(Ltbl[Generic],fTbl2[[#This Row],[listlu]])))</f>
        <v/>
      </c>
      <c r="O16">
        <f>IF(AND(fTbl2[[#This Row],[listlu]],ISERROR(FIND(",",fTbl2[[#This Row],[liMatch]])),fTbl2[[#This Row],[liMatch]]&lt;&gt;""),1,0)</f>
        <v>0</v>
      </c>
      <c r="P16">
        <f>IF(AND(fTbl2[[#This Row],[LT]]="Ref",ISNA(MATCH(fTbl2[[#This Row],[Field]],rTbl[Ref],0))),1,0)</f>
        <v>0</v>
      </c>
      <c r="Q16"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16">
        <f ca="1">FIND("~",SUBSTITUTE(fTbl2[[#This Row],[Hierarchy]],"|","~",1))</f>
        <v>8</v>
      </c>
      <c r="S16" t="e">
        <f ca="1">FIND("~",SUBSTITUTE(fTbl2[[#This Row],[Hierarchy]],"|","~",2))</f>
        <v>#VALUE!</v>
      </c>
      <c r="T16" cm="1">
        <f t="array" ref="T16">IF(fTbl2[[#This Row],[listlu]]=0,0,IF(INDEX(Ltbl[Context],fTbl2[[#This Row],[listlu]],1)="ALL",1,2))</f>
        <v>0</v>
      </c>
      <c r="U16" s="29"/>
    </row>
    <row r="17" spans="1:21">
      <c r="A17" s="15" t="s">
        <v>28</v>
      </c>
      <c r="B17" t="s">
        <v>107</v>
      </c>
      <c r="C17" t="s">
        <v>30</v>
      </c>
      <c r="D17" s="1">
        <v>35</v>
      </c>
      <c r="E17" s="1">
        <v>0</v>
      </c>
      <c r="F17" s="1"/>
      <c r="G17" s="1"/>
      <c r="H17" s="1"/>
      <c r="I17" s="19" t="s">
        <v>108</v>
      </c>
      <c r="J17" s="28" t="s">
        <v>109</v>
      </c>
      <c r="K17" t="str">
        <f ca="1">IFERROR(IF(fTbl2[[#This Row],[LT]]="H",MID(fTbl2[[#This Row],[Hierarchy]],fTbl2[[#This Row],[pipe1]]+1,fTbl2[[#This Row],[pipe2]]-fTbl2[[#This Row],[pipe1]]-1),LEFT(fTbl2[[#This Row],[Hierarchy]],FIND("|",fTbl2[[#This Row],[Hierarchy]])-1)),"")</f>
        <v>iOrders</v>
      </c>
      <c r="L17" s="1">
        <f ca="1">IF(ROW()=3,0,OFFSET(fTbl2[[#This Row],[Lev]],-1,0)+IF(OFFSET(fTbl2[[#This Row],[LT]],-1,0)="H",1,IF(fTbl2[[#This Row],[LT]]="!H",-1,0)))</f>
        <v>1</v>
      </c>
      <c r="M17">
        <f>IF(RIGHT(fTbl2[[#This Row],[valid]],4)&lt;&gt;"list",0,IFERROR(MATCH(fTbl2[[#This Row],[Context]]&amp;"|"&amp;fTbl2[[#This Row],[Field]],Ltbl[ind],0),IFERROR(MATCH("ALL|"&amp;fTbl2[[#This Row],[Field]],Ltbl[ind],0),-1)))</f>
        <v>0</v>
      </c>
      <c r="N17" t="str" cm="1">
        <f t="array" ref="N17">IF(fTbl2[[#This Row],[listlu]]&lt;1,"",IF(INDEX(Ltbl[Generic],fTbl2[[#This Row],[listlu]])="","",INDEX(Ltbl[Generic],fTbl2[[#This Row],[listlu]])))</f>
        <v/>
      </c>
      <c r="O17">
        <f>IF(AND(fTbl2[[#This Row],[listlu]],ISERROR(FIND(",",fTbl2[[#This Row],[liMatch]])),fTbl2[[#This Row],[liMatch]]&lt;&gt;""),1,0)</f>
        <v>0</v>
      </c>
      <c r="P17">
        <f>IF(AND(fTbl2[[#This Row],[LT]]="Ref",ISNA(MATCH(fTbl2[[#This Row],[Field]],rTbl[Ref],0))),1,0)</f>
        <v>0</v>
      </c>
      <c r="Q17"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17">
        <f ca="1">FIND("~",SUBSTITUTE(fTbl2[[#This Row],[Hierarchy]],"|","~",1))</f>
        <v>8</v>
      </c>
      <c r="S17" t="e">
        <f ca="1">FIND("~",SUBSTITUTE(fTbl2[[#This Row],[Hierarchy]],"|","~",2))</f>
        <v>#VALUE!</v>
      </c>
      <c r="T17" cm="1">
        <f t="array" ref="T17">IF(fTbl2[[#This Row],[listlu]]=0,0,IF(INDEX(Ltbl[Context],fTbl2[[#This Row],[listlu]],1)="ALL",1,2))</f>
        <v>0</v>
      </c>
      <c r="U17" s="29"/>
    </row>
    <row r="18" spans="1:21">
      <c r="A18" s="15" t="s">
        <v>28</v>
      </c>
      <c r="B18" t="s">
        <v>111</v>
      </c>
      <c r="C18" t="s">
        <v>30</v>
      </c>
      <c r="D18" s="1">
        <v>35</v>
      </c>
      <c r="E18" s="1">
        <v>0</v>
      </c>
      <c r="F18" s="1"/>
      <c r="G18" s="1"/>
      <c r="H18" s="1"/>
      <c r="I18" s="19" t="s">
        <v>108</v>
      </c>
      <c r="J18" s="28" t="s">
        <v>112</v>
      </c>
      <c r="K18" t="str">
        <f ca="1">IFERROR(IF(fTbl2[[#This Row],[LT]]="H",MID(fTbl2[[#This Row],[Hierarchy]],fTbl2[[#This Row],[pipe1]]+1,fTbl2[[#This Row],[pipe2]]-fTbl2[[#This Row],[pipe1]]-1),LEFT(fTbl2[[#This Row],[Hierarchy]],FIND("|",fTbl2[[#This Row],[Hierarchy]])-1)),"")</f>
        <v>iOrders</v>
      </c>
      <c r="L18" s="1">
        <f ca="1">IF(ROW()=3,0,OFFSET(fTbl2[[#This Row],[Lev]],-1,0)+IF(OFFSET(fTbl2[[#This Row],[LT]],-1,0)="H",1,IF(fTbl2[[#This Row],[LT]]="!H",-1,0)))</f>
        <v>1</v>
      </c>
      <c r="M18">
        <f>IF(RIGHT(fTbl2[[#This Row],[valid]],4)&lt;&gt;"list",0,IFERROR(MATCH(fTbl2[[#This Row],[Context]]&amp;"|"&amp;fTbl2[[#This Row],[Field]],Ltbl[ind],0),IFERROR(MATCH("ALL|"&amp;fTbl2[[#This Row],[Field]],Ltbl[ind],0),-1)))</f>
        <v>0</v>
      </c>
      <c r="N18" t="str" cm="1">
        <f t="array" ref="N18">IF(fTbl2[[#This Row],[listlu]]&lt;1,"",IF(INDEX(Ltbl[Generic],fTbl2[[#This Row],[listlu]])="","",INDEX(Ltbl[Generic],fTbl2[[#This Row],[listlu]])))</f>
        <v/>
      </c>
      <c r="O18">
        <f>IF(AND(fTbl2[[#This Row],[listlu]],ISERROR(FIND(",",fTbl2[[#This Row],[liMatch]])),fTbl2[[#This Row],[liMatch]]&lt;&gt;""),1,0)</f>
        <v>0</v>
      </c>
      <c r="P18">
        <f>IF(AND(fTbl2[[#This Row],[LT]]="Ref",ISNA(MATCH(fTbl2[[#This Row],[Field]],rTbl[Ref],0))),1,0)</f>
        <v>0</v>
      </c>
      <c r="Q18"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18">
        <f ca="1">FIND("~",SUBSTITUTE(fTbl2[[#This Row],[Hierarchy]],"|","~",1))</f>
        <v>8</v>
      </c>
      <c r="S18" t="e">
        <f ca="1">FIND("~",SUBSTITUTE(fTbl2[[#This Row],[Hierarchy]],"|","~",2))</f>
        <v>#VALUE!</v>
      </c>
      <c r="T18" cm="1">
        <f t="array" ref="T18">IF(fTbl2[[#This Row],[listlu]]=0,0,IF(INDEX(Ltbl[Context],fTbl2[[#This Row],[listlu]],1)="ALL",1,2))</f>
        <v>0</v>
      </c>
      <c r="U18" s="29"/>
    </row>
    <row r="19" spans="1:21">
      <c r="A19" s="15" t="s">
        <v>28</v>
      </c>
      <c r="B19" t="s">
        <v>114</v>
      </c>
      <c r="C19" t="s">
        <v>30</v>
      </c>
      <c r="D19" s="1">
        <v>35</v>
      </c>
      <c r="E19" s="1">
        <v>0</v>
      </c>
      <c r="F19" s="1"/>
      <c r="G19" s="1"/>
      <c r="H19" s="1"/>
      <c r="I19" s="19" t="s">
        <v>115</v>
      </c>
      <c r="J19" s="28" t="s">
        <v>296</v>
      </c>
      <c r="K19" t="str">
        <f ca="1">IFERROR(IF(fTbl2[[#This Row],[LT]]="H",MID(fTbl2[[#This Row],[Hierarchy]],fTbl2[[#This Row],[pipe1]]+1,fTbl2[[#This Row],[pipe2]]-fTbl2[[#This Row],[pipe1]]-1),LEFT(fTbl2[[#This Row],[Hierarchy]],FIND("|",fTbl2[[#This Row],[Hierarchy]])-1)),"")</f>
        <v>iOrders</v>
      </c>
      <c r="L19" s="1">
        <f ca="1">IF(ROW()=3,0,OFFSET(fTbl2[[#This Row],[Lev]],-1,0)+IF(OFFSET(fTbl2[[#This Row],[LT]],-1,0)="H",1,IF(fTbl2[[#This Row],[LT]]="!H",-1,0)))</f>
        <v>1</v>
      </c>
      <c r="M19">
        <f>IF(RIGHT(fTbl2[[#This Row],[valid]],4)&lt;&gt;"list",0,IFERROR(MATCH(fTbl2[[#This Row],[Context]]&amp;"|"&amp;fTbl2[[#This Row],[Field]],Ltbl[ind],0),IFERROR(MATCH("ALL|"&amp;fTbl2[[#This Row],[Field]],Ltbl[ind],0),-1)))</f>
        <v>0</v>
      </c>
      <c r="N19" t="str" cm="1">
        <f t="array" ref="N19">IF(fTbl2[[#This Row],[listlu]]&lt;1,"",IF(INDEX(Ltbl[Generic],fTbl2[[#This Row],[listlu]])="","",INDEX(Ltbl[Generic],fTbl2[[#This Row],[listlu]])))</f>
        <v/>
      </c>
      <c r="O19">
        <f>IF(AND(fTbl2[[#This Row],[listlu]],ISERROR(FIND(",",fTbl2[[#This Row],[liMatch]])),fTbl2[[#This Row],[liMatch]]&lt;&gt;""),1,0)</f>
        <v>0</v>
      </c>
      <c r="P19">
        <f>IF(AND(fTbl2[[#This Row],[LT]]="Ref",ISNA(MATCH(fTbl2[[#This Row],[Field]],rTbl[Ref],0))),1,0)</f>
        <v>0</v>
      </c>
      <c r="Q19"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19">
        <f ca="1">FIND("~",SUBSTITUTE(fTbl2[[#This Row],[Hierarchy]],"|","~",1))</f>
        <v>8</v>
      </c>
      <c r="S19" t="e">
        <f ca="1">FIND("~",SUBSTITUTE(fTbl2[[#This Row],[Hierarchy]],"|","~",2))</f>
        <v>#VALUE!</v>
      </c>
      <c r="T19" cm="1">
        <f t="array" ref="T19">IF(fTbl2[[#This Row],[listlu]]=0,0,IF(INDEX(Ltbl[Context],fTbl2[[#This Row],[listlu]],1)="ALL",1,2))</f>
        <v>0</v>
      </c>
      <c r="U19" s="29"/>
    </row>
    <row r="20" spans="1:21">
      <c r="A20" s="15" t="s">
        <v>28</v>
      </c>
      <c r="B20" t="s">
        <v>117</v>
      </c>
      <c r="C20" t="s">
        <v>30</v>
      </c>
      <c r="D20" s="1">
        <v>250</v>
      </c>
      <c r="E20" s="1">
        <v>0</v>
      </c>
      <c r="F20" s="1"/>
      <c r="G20" s="1"/>
      <c r="H20" s="1"/>
      <c r="I20" s="19" t="s">
        <v>297</v>
      </c>
      <c r="J20" s="28" t="s">
        <v>298</v>
      </c>
      <c r="K20" t="str">
        <f ca="1">IFERROR(IF(fTbl2[[#This Row],[LT]]="H",MID(fTbl2[[#This Row],[Hierarchy]],fTbl2[[#This Row],[pipe1]]+1,fTbl2[[#This Row],[pipe2]]-fTbl2[[#This Row],[pipe1]]-1),LEFT(fTbl2[[#This Row],[Hierarchy]],FIND("|",fTbl2[[#This Row],[Hierarchy]])-1)),"")</f>
        <v>iOrders</v>
      </c>
      <c r="L20" s="1">
        <f ca="1">IF(ROW()=3,0,OFFSET(fTbl2[[#This Row],[Lev]],-1,0)+IF(OFFSET(fTbl2[[#This Row],[LT]],-1,0)="H",1,IF(fTbl2[[#This Row],[LT]]="!H",-1,0)))</f>
        <v>1</v>
      </c>
      <c r="M20">
        <f>IF(RIGHT(fTbl2[[#This Row],[valid]],4)&lt;&gt;"list",0,IFERROR(MATCH(fTbl2[[#This Row],[Context]]&amp;"|"&amp;fTbl2[[#This Row],[Field]],Ltbl[ind],0),IFERROR(MATCH("ALL|"&amp;fTbl2[[#This Row],[Field]],Ltbl[ind],0),-1)))</f>
        <v>0</v>
      </c>
      <c r="N20" t="str" cm="1">
        <f t="array" ref="N20">IF(fTbl2[[#This Row],[listlu]]&lt;1,"",IF(INDEX(Ltbl[Generic],fTbl2[[#This Row],[listlu]])="","",INDEX(Ltbl[Generic],fTbl2[[#This Row],[listlu]])))</f>
        <v/>
      </c>
      <c r="O20">
        <f>IF(AND(fTbl2[[#This Row],[listlu]],ISERROR(FIND(",",fTbl2[[#This Row],[liMatch]])),fTbl2[[#This Row],[liMatch]]&lt;&gt;""),1,0)</f>
        <v>0</v>
      </c>
      <c r="P20">
        <f>IF(AND(fTbl2[[#This Row],[LT]]="Ref",ISNA(MATCH(fTbl2[[#This Row],[Field]],rTbl[Ref],0))),1,0)</f>
        <v>0</v>
      </c>
      <c r="Q20"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20">
        <f ca="1">FIND("~",SUBSTITUTE(fTbl2[[#This Row],[Hierarchy]],"|","~",1))</f>
        <v>8</v>
      </c>
      <c r="S20" t="e">
        <f ca="1">FIND("~",SUBSTITUTE(fTbl2[[#This Row],[Hierarchy]],"|","~",2))</f>
        <v>#VALUE!</v>
      </c>
      <c r="T20" cm="1">
        <f t="array" ref="T20">IF(fTbl2[[#This Row],[listlu]]=0,0,IF(INDEX(Ltbl[Context],fTbl2[[#This Row],[listlu]],1)="ALL",1,2))</f>
        <v>0</v>
      </c>
      <c r="U20" s="29"/>
    </row>
    <row r="21" spans="1:21">
      <c r="A21" s="15" t="s">
        <v>123</v>
      </c>
      <c r="B21" t="s">
        <v>142</v>
      </c>
      <c r="D21" s="1"/>
      <c r="E21" s="1">
        <v>0</v>
      </c>
      <c r="F21" s="1" t="s">
        <v>23</v>
      </c>
      <c r="G21" s="1"/>
      <c r="H21" s="1"/>
      <c r="I21" s="19" t="s">
        <v>143</v>
      </c>
      <c r="J21" s="28"/>
      <c r="K21" t="str">
        <f ca="1">IFERROR(IF(fTbl2[[#This Row],[LT]]="H",MID(fTbl2[[#This Row],[Hierarchy]],fTbl2[[#This Row],[pipe1]]+1,fTbl2[[#This Row],[pipe2]]-fTbl2[[#This Row],[pipe1]]-1),LEFT(fTbl2[[#This Row],[Hierarchy]],FIND("|",fTbl2[[#This Row],[Hierarchy]])-1)),"")</f>
        <v>iOrders</v>
      </c>
      <c r="L21" s="1">
        <f ca="1">IF(ROW()=3,0,OFFSET(fTbl2[[#This Row],[Lev]],-1,0)+IF(OFFSET(fTbl2[[#This Row],[LT]],-1,0)="H",1,IF(fTbl2[[#This Row],[LT]]="!H",-1,0)))</f>
        <v>1</v>
      </c>
      <c r="M21">
        <f>IF(RIGHT(fTbl2[[#This Row],[valid]],4)&lt;&gt;"list",0,IFERROR(MATCH(fTbl2[[#This Row],[Context]]&amp;"|"&amp;fTbl2[[#This Row],[Field]],Ltbl[ind],0),IFERROR(MATCH("ALL|"&amp;fTbl2[[#This Row],[Field]],Ltbl[ind],0),-1)))</f>
        <v>0</v>
      </c>
      <c r="N21" t="str" cm="1">
        <f t="array" ref="N21">IF(fTbl2[[#This Row],[listlu]]&lt;1,"",IF(INDEX(Ltbl[Generic],fTbl2[[#This Row],[listlu]])="","",INDEX(Ltbl[Generic],fTbl2[[#This Row],[listlu]])))</f>
        <v/>
      </c>
      <c r="O21">
        <f>IF(AND(fTbl2[[#This Row],[listlu]],ISERROR(FIND(",",fTbl2[[#This Row],[liMatch]])),fTbl2[[#This Row],[liMatch]]&lt;&gt;""),1,0)</f>
        <v>0</v>
      </c>
      <c r="P21">
        <f>IF(AND(fTbl2[[#This Row],[LT]]="Ref",ISNA(MATCH(fTbl2[[#This Row],[Field]],rTbl[Ref],0))),1,0)</f>
        <v>0</v>
      </c>
      <c r="Q21"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21">
        <f ca="1">FIND("~",SUBSTITUTE(fTbl2[[#This Row],[Hierarchy]],"|","~",1))</f>
        <v>8</v>
      </c>
      <c r="S21" t="e">
        <f ca="1">FIND("~",SUBSTITUTE(fTbl2[[#This Row],[Hierarchy]],"|","~",2))</f>
        <v>#VALUE!</v>
      </c>
      <c r="T21" cm="1">
        <f t="array" ref="T21">IF(fTbl2[[#This Row],[listlu]]=0,0,IF(INDEX(Ltbl[Context],fTbl2[[#This Row],[listlu]],1)="ALL",1,2))</f>
        <v>0</v>
      </c>
      <c r="U21" s="29"/>
    </row>
    <row r="22" spans="1:21">
      <c r="A22" s="15" t="s">
        <v>21</v>
      </c>
      <c r="B22" t="s">
        <v>311</v>
      </c>
      <c r="D22" s="1"/>
      <c r="E22" s="1">
        <v>1</v>
      </c>
      <c r="F22" s="1" t="s">
        <v>23</v>
      </c>
      <c r="G22" s="1"/>
      <c r="H22" s="1"/>
      <c r="I22" s="19" t="s">
        <v>145</v>
      </c>
      <c r="J22" s="28"/>
      <c r="K22" t="str">
        <f ca="1">IFERROR(IF(fTbl2[[#This Row],[LT]]="H",MID(fTbl2[[#This Row],[Hierarchy]],fTbl2[[#This Row],[pipe1]]+1,fTbl2[[#This Row],[pipe2]]-fTbl2[[#This Row],[pipe1]]-1),LEFT(fTbl2[[#This Row],[Hierarchy]],FIND("|",fTbl2[[#This Row],[Hierarchy]])-1)),"")</f>
        <v>iOrders</v>
      </c>
      <c r="L22" s="1">
        <f ca="1">IF(ROW()=3,0,OFFSET(fTbl2[[#This Row],[Lev]],-1,0)+IF(OFFSET(fTbl2[[#This Row],[LT]],-1,0)="H",1,IF(fTbl2[[#This Row],[LT]]="!H",-1,0)))</f>
        <v>1</v>
      </c>
      <c r="M22">
        <f>IF(RIGHT(fTbl2[[#This Row],[valid]],4)&lt;&gt;"list",0,IFERROR(MATCH(fTbl2[[#This Row],[Context]]&amp;"|"&amp;fTbl2[[#This Row],[Field]],Ltbl[ind],0),IFERROR(MATCH("ALL|"&amp;fTbl2[[#This Row],[Field]],Ltbl[ind],0),-1)))</f>
        <v>0</v>
      </c>
      <c r="N22" t="str" cm="1">
        <f t="array" ref="N22">IF(fTbl2[[#This Row],[listlu]]&lt;1,"",IF(INDEX(Ltbl[Generic],fTbl2[[#This Row],[listlu]])="","",INDEX(Ltbl[Generic],fTbl2[[#This Row],[listlu]])))</f>
        <v/>
      </c>
      <c r="O22">
        <f>IF(AND(fTbl2[[#This Row],[listlu]],ISERROR(FIND(",",fTbl2[[#This Row],[liMatch]])),fTbl2[[#This Row],[liMatch]]&lt;&gt;""),1,0)</f>
        <v>0</v>
      </c>
      <c r="P22">
        <f>IF(AND(fTbl2[[#This Row],[LT]]="Ref",ISNA(MATCH(fTbl2[[#This Row],[Field]],rTbl[Ref],0))),1,0)</f>
        <v>0</v>
      </c>
      <c r="Q22"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22">
        <f ca="1">FIND("~",SUBSTITUTE(fTbl2[[#This Row],[Hierarchy]],"|","~",1))</f>
        <v>12</v>
      </c>
      <c r="S22">
        <f ca="1">FIND("~",SUBSTITUTE(fTbl2[[#This Row],[Hierarchy]],"|","~",2))</f>
        <v>20</v>
      </c>
      <c r="T22" cm="1">
        <f t="array" ref="T22">IF(fTbl2[[#This Row],[listlu]]=0,0,IF(INDEX(Ltbl[Context],fTbl2[[#This Row],[listlu]],1)="ALL",1,2))</f>
        <v>0</v>
      </c>
      <c r="U22" s="29"/>
    </row>
    <row r="23" spans="1:21">
      <c r="A23" s="15" t="s">
        <v>28</v>
      </c>
      <c r="B23" t="s">
        <v>146</v>
      </c>
      <c r="C23" t="s">
        <v>84</v>
      </c>
      <c r="D23" s="1"/>
      <c r="E23" s="1">
        <v>1</v>
      </c>
      <c r="F23" s="1"/>
      <c r="G23" s="1"/>
      <c r="H23" s="1"/>
      <c r="I23" s="19" t="s">
        <v>312</v>
      </c>
      <c r="J23" s="28" t="s">
        <v>313</v>
      </c>
      <c r="K23" t="str">
        <f ca="1">IFERROR(IF(fTbl2[[#This Row],[LT]]="H",MID(fTbl2[[#This Row],[Hierarchy]],fTbl2[[#This Row],[pipe1]]+1,fTbl2[[#This Row],[pipe2]]-fTbl2[[#This Row],[pipe1]]-1),LEFT(fTbl2[[#This Row],[Hierarchy]],FIND("|",fTbl2[[#This Row],[Hierarchy]])-1)),"")</f>
        <v>iOrderLines</v>
      </c>
      <c r="L23" s="1">
        <f ca="1">IF(ROW()=3,0,OFFSET(fTbl2[[#This Row],[Lev]],-1,0)+IF(OFFSET(fTbl2[[#This Row],[LT]],-1,0)="H",1,IF(fTbl2[[#This Row],[LT]]="!H",-1,0)))</f>
        <v>2</v>
      </c>
      <c r="M23">
        <f>IF(RIGHT(fTbl2[[#This Row],[valid]],4)&lt;&gt;"list",0,IFERROR(MATCH(fTbl2[[#This Row],[Context]]&amp;"|"&amp;fTbl2[[#This Row],[Field]],Ltbl[ind],0),IFERROR(MATCH("ALL|"&amp;fTbl2[[#This Row],[Field]],Ltbl[ind],0),-1)))</f>
        <v>0</v>
      </c>
      <c r="N23" t="str" cm="1">
        <f t="array" ref="N23">IF(fTbl2[[#This Row],[listlu]]&lt;1,"",IF(INDEX(Ltbl[Generic],fTbl2[[#This Row],[listlu]])="","",INDEX(Ltbl[Generic],fTbl2[[#This Row],[listlu]])))</f>
        <v/>
      </c>
      <c r="O23">
        <f>IF(AND(fTbl2[[#This Row],[listlu]],ISERROR(FIND(",",fTbl2[[#This Row],[liMatch]])),fTbl2[[#This Row],[liMatch]]&lt;&gt;""),1,0)</f>
        <v>0</v>
      </c>
      <c r="P23">
        <f>IF(AND(fTbl2[[#This Row],[LT]]="Ref",ISNA(MATCH(fTbl2[[#This Row],[Field]],rTbl[Ref],0))),1,0)</f>
        <v>0</v>
      </c>
      <c r="Q23"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23">
        <f ca="1">FIND("~",SUBSTITUTE(fTbl2[[#This Row],[Hierarchy]],"|","~",1))</f>
        <v>12</v>
      </c>
      <c r="S23">
        <f ca="1">FIND("~",SUBSTITUTE(fTbl2[[#This Row],[Hierarchy]],"|","~",2))</f>
        <v>20</v>
      </c>
      <c r="T23" cm="1">
        <f t="array" ref="T23">IF(fTbl2[[#This Row],[listlu]]=0,0,IF(INDEX(Ltbl[Context],fTbl2[[#This Row],[listlu]],1)="ALL",1,2))</f>
        <v>0</v>
      </c>
      <c r="U23" s="29"/>
    </row>
    <row r="24" spans="1:21">
      <c r="A24" s="15" t="s">
        <v>28</v>
      </c>
      <c r="B24" t="s">
        <v>150</v>
      </c>
      <c r="C24" t="s">
        <v>84</v>
      </c>
      <c r="D24" s="1"/>
      <c r="E24" s="1">
        <v>0</v>
      </c>
      <c r="F24" s="1"/>
      <c r="G24" s="1"/>
      <c r="H24" s="1"/>
      <c r="I24" s="19" t="s">
        <v>151</v>
      </c>
      <c r="J24" s="28">
        <v>13</v>
      </c>
      <c r="K24" t="str">
        <f ca="1">IFERROR(IF(fTbl2[[#This Row],[LT]]="H",MID(fTbl2[[#This Row],[Hierarchy]],fTbl2[[#This Row],[pipe1]]+1,fTbl2[[#This Row],[pipe2]]-fTbl2[[#This Row],[pipe1]]-1),LEFT(fTbl2[[#This Row],[Hierarchy]],FIND("|",fTbl2[[#This Row],[Hierarchy]])-1)),"")</f>
        <v>iOrderLines</v>
      </c>
      <c r="L24" s="1">
        <f ca="1">IF(ROW()=3,0,OFFSET(fTbl2[[#This Row],[Lev]],-1,0)+IF(OFFSET(fTbl2[[#This Row],[LT]],-1,0)="H",1,IF(fTbl2[[#This Row],[LT]]="!H",-1,0)))</f>
        <v>2</v>
      </c>
      <c r="M24">
        <f>IF(RIGHT(fTbl2[[#This Row],[valid]],4)&lt;&gt;"list",0,IFERROR(MATCH(fTbl2[[#This Row],[Context]]&amp;"|"&amp;fTbl2[[#This Row],[Field]],Ltbl[ind],0),IFERROR(MATCH("ALL|"&amp;fTbl2[[#This Row],[Field]],Ltbl[ind],0),-1)))</f>
        <v>0</v>
      </c>
      <c r="N24" t="str" cm="1">
        <f t="array" ref="N24">IF(fTbl2[[#This Row],[listlu]]&lt;1,"",IF(INDEX(Ltbl[Generic],fTbl2[[#This Row],[listlu]])="","",INDEX(Ltbl[Generic],fTbl2[[#This Row],[listlu]])))</f>
        <v/>
      </c>
      <c r="O24">
        <f>IF(AND(fTbl2[[#This Row],[listlu]],ISERROR(FIND(",",fTbl2[[#This Row],[liMatch]])),fTbl2[[#This Row],[liMatch]]&lt;&gt;""),1,0)</f>
        <v>0</v>
      </c>
      <c r="P24">
        <f>IF(AND(fTbl2[[#This Row],[LT]]="Ref",ISNA(MATCH(fTbl2[[#This Row],[Field]],rTbl[Ref],0))),1,0)</f>
        <v>0</v>
      </c>
      <c r="Q24"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24">
        <f ca="1">FIND("~",SUBSTITUTE(fTbl2[[#This Row],[Hierarchy]],"|","~",1))</f>
        <v>12</v>
      </c>
      <c r="S24">
        <f ca="1">FIND("~",SUBSTITUTE(fTbl2[[#This Row],[Hierarchy]],"|","~",2))</f>
        <v>20</v>
      </c>
      <c r="T24" cm="1">
        <f t="array" ref="T24">IF(fTbl2[[#This Row],[listlu]]=0,0,IF(INDEX(Ltbl[Context],fTbl2[[#This Row],[listlu]],1)="ALL",1,2))</f>
        <v>0</v>
      </c>
      <c r="U24" s="29"/>
    </row>
    <row r="25" spans="1:21">
      <c r="A25" s="15" t="s">
        <v>28</v>
      </c>
      <c r="B25" t="s">
        <v>341</v>
      </c>
      <c r="C25" t="s">
        <v>94</v>
      </c>
      <c r="D25" s="1"/>
      <c r="E25" s="1">
        <v>0</v>
      </c>
      <c r="F25" s="1"/>
      <c r="G25" s="1"/>
      <c r="H25" s="1"/>
      <c r="I25" s="19" t="s">
        <v>315</v>
      </c>
      <c r="J25" s="27" t="s">
        <v>316</v>
      </c>
      <c r="K25" t="str">
        <f ca="1">IFERROR(IF(fTbl2[[#This Row],[LT]]="H",MID(fTbl2[[#This Row],[Hierarchy]],fTbl2[[#This Row],[pipe1]]+1,fTbl2[[#This Row],[pipe2]]-fTbl2[[#This Row],[pipe1]]-1),LEFT(fTbl2[[#This Row],[Hierarchy]],FIND("|",fTbl2[[#This Row],[Hierarchy]])-1)),"")</f>
        <v>iOrderLines</v>
      </c>
      <c r="L25" s="1">
        <f ca="1">IF(ROW()=3,0,OFFSET(fTbl2[[#This Row],[Lev]],-1,0)+IF(OFFSET(fTbl2[[#This Row],[LT]],-1,0)="H",1,IF(fTbl2[[#This Row],[LT]]="!H",-1,0)))</f>
        <v>2</v>
      </c>
      <c r="M25">
        <f>IF(RIGHT(fTbl2[[#This Row],[valid]],4)&lt;&gt;"list",0,IFERROR(MATCH(fTbl2[[#This Row],[Context]]&amp;"|"&amp;fTbl2[[#This Row],[Field]],Ltbl[ind],0),IFERROR(MATCH("ALL|"&amp;fTbl2[[#This Row],[Field]],Ltbl[ind],0),-1)))</f>
        <v>0</v>
      </c>
      <c r="N25" t="str" cm="1">
        <f t="array" ref="N25">IF(fTbl2[[#This Row],[listlu]]&lt;1,"",IF(INDEX(Ltbl[Generic],fTbl2[[#This Row],[listlu]])="","",INDEX(Ltbl[Generic],fTbl2[[#This Row],[listlu]])))</f>
        <v/>
      </c>
      <c r="O25">
        <f>IF(AND(fTbl2[[#This Row],[listlu]],ISERROR(FIND(",",fTbl2[[#This Row],[liMatch]])),fTbl2[[#This Row],[liMatch]]&lt;&gt;""),1,0)</f>
        <v>0</v>
      </c>
      <c r="P25">
        <f>IF(AND(fTbl2[[#This Row],[LT]]="Ref",ISNA(MATCH(fTbl2[[#This Row],[Field]],rTbl[Ref],0))),1,0)</f>
        <v>0</v>
      </c>
      <c r="Q25"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25">
        <f ca="1">FIND("~",SUBSTITUTE(fTbl2[[#This Row],[Hierarchy]],"|","~",1))</f>
        <v>12</v>
      </c>
      <c r="S25">
        <f ca="1">FIND("~",SUBSTITUTE(fTbl2[[#This Row],[Hierarchy]],"|","~",2))</f>
        <v>20</v>
      </c>
      <c r="T25" cm="1">
        <f t="array" ref="T25">IF(fTbl2[[#This Row],[listlu]]=0,0,IF(INDEX(Ltbl[Context],fTbl2[[#This Row],[listlu]],1)="ALL",1,2))</f>
        <v>0</v>
      </c>
      <c r="U25" s="29"/>
    </row>
    <row r="26" spans="1:21">
      <c r="A26" s="15" t="s">
        <v>28</v>
      </c>
      <c r="B26" t="s">
        <v>152</v>
      </c>
      <c r="C26" t="s">
        <v>30</v>
      </c>
      <c r="D26" s="1">
        <v>30</v>
      </c>
      <c r="E26" s="1">
        <v>1</v>
      </c>
      <c r="F26" s="1"/>
      <c r="G26" s="1"/>
      <c r="H26" s="1"/>
      <c r="I26" s="19" t="s">
        <v>153</v>
      </c>
      <c r="J26" s="28" t="s">
        <v>154</v>
      </c>
      <c r="K26" t="str">
        <f ca="1">IFERROR(IF(fTbl2[[#This Row],[LT]]="H",MID(fTbl2[[#This Row],[Hierarchy]],fTbl2[[#This Row],[pipe1]]+1,fTbl2[[#This Row],[pipe2]]-fTbl2[[#This Row],[pipe1]]-1),LEFT(fTbl2[[#This Row],[Hierarchy]],FIND("|",fTbl2[[#This Row],[Hierarchy]])-1)),"")</f>
        <v>iOrderLines</v>
      </c>
      <c r="L26" s="1">
        <f ca="1">IF(ROW()=3,0,OFFSET(fTbl2[[#This Row],[Lev]],-1,0)+IF(OFFSET(fTbl2[[#This Row],[LT]],-1,0)="H",1,IF(fTbl2[[#This Row],[LT]]="!H",-1,0)))</f>
        <v>2</v>
      </c>
      <c r="M26">
        <f>IF(RIGHT(fTbl2[[#This Row],[valid]],4)&lt;&gt;"list",0,IFERROR(MATCH(fTbl2[[#This Row],[Context]]&amp;"|"&amp;fTbl2[[#This Row],[Field]],Ltbl[ind],0),IFERROR(MATCH("ALL|"&amp;fTbl2[[#This Row],[Field]],Ltbl[ind],0),-1)))</f>
        <v>0</v>
      </c>
      <c r="N26" t="str" cm="1">
        <f t="array" ref="N26">IF(fTbl2[[#This Row],[listlu]]&lt;1,"",IF(INDEX(Ltbl[Generic],fTbl2[[#This Row],[listlu]])="","",INDEX(Ltbl[Generic],fTbl2[[#This Row],[listlu]])))</f>
        <v/>
      </c>
      <c r="O26">
        <f>IF(AND(fTbl2[[#This Row],[listlu]],ISERROR(FIND(",",fTbl2[[#This Row],[liMatch]])),fTbl2[[#This Row],[liMatch]]&lt;&gt;""),1,0)</f>
        <v>0</v>
      </c>
      <c r="P26">
        <f>IF(AND(fTbl2[[#This Row],[LT]]="Ref",ISNA(MATCH(fTbl2[[#This Row],[Field]],rTbl[Ref],0))),1,0)</f>
        <v>0</v>
      </c>
      <c r="Q26"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26">
        <f ca="1">FIND("~",SUBSTITUTE(fTbl2[[#This Row],[Hierarchy]],"|","~",1))</f>
        <v>12</v>
      </c>
      <c r="S26">
        <f ca="1">FIND("~",SUBSTITUTE(fTbl2[[#This Row],[Hierarchy]],"|","~",2))</f>
        <v>20</v>
      </c>
      <c r="T26" cm="1">
        <f t="array" ref="T26">IF(fTbl2[[#This Row],[listlu]]=0,0,IF(INDEX(Ltbl[Context],fTbl2[[#This Row],[listlu]],1)="ALL",1,2))</f>
        <v>0</v>
      </c>
      <c r="U26" s="29"/>
    </row>
    <row r="27" spans="1:21">
      <c r="A27" s="15" t="s">
        <v>28</v>
      </c>
      <c r="B27" t="s">
        <v>156</v>
      </c>
      <c r="C27" t="s">
        <v>30</v>
      </c>
      <c r="D27" s="1">
        <v>30</v>
      </c>
      <c r="E27" s="1">
        <v>0</v>
      </c>
      <c r="F27" s="1"/>
      <c r="G27" s="1"/>
      <c r="H27" s="1"/>
      <c r="I27" s="19" t="s">
        <v>157</v>
      </c>
      <c r="J27" s="28">
        <v>368772</v>
      </c>
      <c r="K27" t="str">
        <f ca="1">IFERROR(IF(fTbl2[[#This Row],[LT]]="H",MID(fTbl2[[#This Row],[Hierarchy]],fTbl2[[#This Row],[pipe1]]+1,fTbl2[[#This Row],[pipe2]]-fTbl2[[#This Row],[pipe1]]-1),LEFT(fTbl2[[#This Row],[Hierarchy]],FIND("|",fTbl2[[#This Row],[Hierarchy]])-1)),"")</f>
        <v>iOrderLines</v>
      </c>
      <c r="L27" s="1">
        <f ca="1">IF(ROW()=3,0,OFFSET(fTbl2[[#This Row],[Lev]],-1,0)+IF(OFFSET(fTbl2[[#This Row],[LT]],-1,0)="H",1,IF(fTbl2[[#This Row],[LT]]="!H",-1,0)))</f>
        <v>2</v>
      </c>
      <c r="M27">
        <f>IF(RIGHT(fTbl2[[#This Row],[valid]],4)&lt;&gt;"list",0,IFERROR(MATCH(fTbl2[[#This Row],[Context]]&amp;"|"&amp;fTbl2[[#This Row],[Field]],Ltbl[ind],0),IFERROR(MATCH("ALL|"&amp;fTbl2[[#This Row],[Field]],Ltbl[ind],0),-1)))</f>
        <v>0</v>
      </c>
      <c r="N27" t="str" cm="1">
        <f t="array" ref="N27">IF(fTbl2[[#This Row],[listlu]]&lt;1,"",IF(INDEX(Ltbl[Generic],fTbl2[[#This Row],[listlu]])="","",INDEX(Ltbl[Generic],fTbl2[[#This Row],[listlu]])))</f>
        <v/>
      </c>
      <c r="O27">
        <f>IF(AND(fTbl2[[#This Row],[listlu]],ISERROR(FIND(",",fTbl2[[#This Row],[liMatch]])),fTbl2[[#This Row],[liMatch]]&lt;&gt;""),1,0)</f>
        <v>0</v>
      </c>
      <c r="P27">
        <f>IF(AND(fTbl2[[#This Row],[LT]]="Ref",ISNA(MATCH(fTbl2[[#This Row],[Field]],rTbl[Ref],0))),1,0)</f>
        <v>0</v>
      </c>
      <c r="Q27"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27">
        <f ca="1">FIND("~",SUBSTITUTE(fTbl2[[#This Row],[Hierarchy]],"|","~",1))</f>
        <v>12</v>
      </c>
      <c r="S27">
        <f ca="1">FIND("~",SUBSTITUTE(fTbl2[[#This Row],[Hierarchy]],"|","~",2))</f>
        <v>20</v>
      </c>
      <c r="T27" cm="1">
        <f t="array" ref="T27">IF(fTbl2[[#This Row],[listlu]]=0,0,IF(INDEX(Ltbl[Context],fTbl2[[#This Row],[listlu]],1)="ALL",1,2))</f>
        <v>0</v>
      </c>
      <c r="U27" s="29"/>
    </row>
    <row r="28" spans="1:21">
      <c r="A28" s="15" t="s">
        <v>28</v>
      </c>
      <c r="B28" t="s">
        <v>163</v>
      </c>
      <c r="C28" t="s">
        <v>84</v>
      </c>
      <c r="D28" s="1"/>
      <c r="E28" s="1">
        <v>1</v>
      </c>
      <c r="F28" s="1"/>
      <c r="G28" s="1"/>
      <c r="H28" s="1"/>
      <c r="I28" s="19" t="s">
        <v>342</v>
      </c>
      <c r="J28" s="28" t="s">
        <v>318</v>
      </c>
      <c r="K28" t="str">
        <f ca="1">IFERROR(IF(fTbl2[[#This Row],[LT]]="H",MID(fTbl2[[#This Row],[Hierarchy]],fTbl2[[#This Row],[pipe1]]+1,fTbl2[[#This Row],[pipe2]]-fTbl2[[#This Row],[pipe1]]-1),LEFT(fTbl2[[#This Row],[Hierarchy]],FIND("|",fTbl2[[#This Row],[Hierarchy]])-1)),"")</f>
        <v>iOrderLines</v>
      </c>
      <c r="L28" s="1">
        <f ca="1">IF(ROW()=3,0,OFFSET(fTbl2[[#This Row],[Lev]],-1,0)+IF(OFFSET(fTbl2[[#This Row],[LT]],-1,0)="H",1,IF(fTbl2[[#This Row],[LT]]="!H",-1,0)))</f>
        <v>2</v>
      </c>
      <c r="M28">
        <f>IF(RIGHT(fTbl2[[#This Row],[valid]],4)&lt;&gt;"list",0,IFERROR(MATCH(fTbl2[[#This Row],[Context]]&amp;"|"&amp;fTbl2[[#This Row],[Field]],Ltbl[ind],0),IFERROR(MATCH("ALL|"&amp;fTbl2[[#This Row],[Field]],Ltbl[ind],0),-1)))</f>
        <v>0</v>
      </c>
      <c r="N28" t="str" cm="1">
        <f t="array" ref="N28">IF(fTbl2[[#This Row],[listlu]]&lt;1,"",IF(INDEX(Ltbl[Generic],fTbl2[[#This Row],[listlu]])="","",INDEX(Ltbl[Generic],fTbl2[[#This Row],[listlu]])))</f>
        <v/>
      </c>
      <c r="O28">
        <f>IF(AND(fTbl2[[#This Row],[listlu]],ISERROR(FIND(",",fTbl2[[#This Row],[liMatch]])),fTbl2[[#This Row],[liMatch]]&lt;&gt;""),1,0)</f>
        <v>0</v>
      </c>
      <c r="P28">
        <f>IF(AND(fTbl2[[#This Row],[LT]]="Ref",ISNA(MATCH(fTbl2[[#This Row],[Field]],rTbl[Ref],0))),1,0)</f>
        <v>0</v>
      </c>
      <c r="Q28"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28">
        <f ca="1">FIND("~",SUBSTITUTE(fTbl2[[#This Row],[Hierarchy]],"|","~",1))</f>
        <v>12</v>
      </c>
      <c r="S28">
        <f ca="1">FIND("~",SUBSTITUTE(fTbl2[[#This Row],[Hierarchy]],"|","~",2))</f>
        <v>20</v>
      </c>
      <c r="T28" cm="1">
        <f t="array" ref="T28">IF(fTbl2[[#This Row],[listlu]]=0,0,IF(INDEX(Ltbl[Context],fTbl2[[#This Row],[listlu]],1)="ALL",1,2))</f>
        <v>0</v>
      </c>
      <c r="U28" s="29"/>
    </row>
    <row r="29" spans="1:21">
      <c r="A29" s="15" t="s">
        <v>28</v>
      </c>
      <c r="B29" t="s">
        <v>159</v>
      </c>
      <c r="C29" t="s">
        <v>30</v>
      </c>
      <c r="D29" s="1">
        <v>5</v>
      </c>
      <c r="E29" s="1">
        <v>0</v>
      </c>
      <c r="F29" s="1"/>
      <c r="G29" s="1"/>
      <c r="H29" s="1" t="s">
        <v>56</v>
      </c>
      <c r="I29" s="19" t="s">
        <v>319</v>
      </c>
      <c r="J29" s="28" t="s">
        <v>161</v>
      </c>
      <c r="K29" t="str">
        <f ca="1">IFERROR(IF(fTbl2[[#This Row],[LT]]="H",MID(fTbl2[[#This Row],[Hierarchy]],fTbl2[[#This Row],[pipe1]]+1,fTbl2[[#This Row],[pipe2]]-fTbl2[[#This Row],[pipe1]]-1),LEFT(fTbl2[[#This Row],[Hierarchy]],FIND("|",fTbl2[[#This Row],[Hierarchy]])-1)),"")</f>
        <v>iOrderLines</v>
      </c>
      <c r="L29" s="1">
        <f ca="1">IF(ROW()=3,0,OFFSET(fTbl2[[#This Row],[Lev]],-1,0)+IF(OFFSET(fTbl2[[#This Row],[LT]],-1,0)="H",1,IF(fTbl2[[#This Row],[LT]]="!H",-1,0)))</f>
        <v>2</v>
      </c>
      <c r="M29">
        <f ca="1">IF(RIGHT(fTbl2[[#This Row],[valid]],4)&lt;&gt;"list",0,IFERROR(MATCH(fTbl2[[#This Row],[Context]]&amp;"|"&amp;fTbl2[[#This Row],[Field]],Ltbl[ind],0),IFERROR(MATCH("ALL|"&amp;fTbl2[[#This Row],[Field]],Ltbl[ind],0),-1)))</f>
        <v>11</v>
      </c>
      <c r="N29" t="str" cm="1">
        <f t="array" aca="1" ref="N29" ca="1">IF(fTbl2[[#This Row],[listlu]]&lt;1,"",IF(INDEX(Ltbl[Generic],fTbl2[[#This Row],[listlu]])="","",INDEX(Ltbl[Generic],fTbl2[[#This Row],[listlu]])))</f>
        <v>EACH,INNER,OUTER</v>
      </c>
      <c r="O29">
        <f ca="1">IF(AND(fTbl2[[#This Row],[listlu]],ISERROR(FIND(",",fTbl2[[#This Row],[liMatch]])),fTbl2[[#This Row],[liMatch]]&lt;&gt;""),1,0)</f>
        <v>0</v>
      </c>
      <c r="P29">
        <f>IF(AND(fTbl2[[#This Row],[LT]]="Ref",ISNA(MATCH(fTbl2[[#This Row],[Field]],rTbl[Ref],0))),1,0)</f>
        <v>0</v>
      </c>
      <c r="Q29"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29">
        <f ca="1">FIND("~",SUBSTITUTE(fTbl2[[#This Row],[Hierarchy]],"|","~",1))</f>
        <v>12</v>
      </c>
      <c r="S29">
        <f ca="1">FIND("~",SUBSTITUTE(fTbl2[[#This Row],[Hierarchy]],"|","~",2))</f>
        <v>20</v>
      </c>
      <c r="T29" cm="1">
        <f t="array" aca="1" ref="T29" ca="1">IF(fTbl2[[#This Row],[listlu]]=0,0,IF(INDEX(Ltbl[Context],fTbl2[[#This Row],[listlu]],1)="ALL",1,2))</f>
        <v>1</v>
      </c>
      <c r="U29" s="29"/>
    </row>
    <row r="30" spans="1:21">
      <c r="A30" s="15" t="s">
        <v>28</v>
      </c>
      <c r="B30" t="s">
        <v>323</v>
      </c>
      <c r="C30" t="s">
        <v>30</v>
      </c>
      <c r="D30" s="1">
        <v>15</v>
      </c>
      <c r="E30" s="1">
        <v>0</v>
      </c>
      <c r="F30" s="1"/>
      <c r="G30" s="1"/>
      <c r="H30" s="1"/>
      <c r="I30" s="19" t="s">
        <v>324</v>
      </c>
      <c r="J30" s="28" t="s">
        <v>325</v>
      </c>
      <c r="K30" t="str">
        <f ca="1">IFERROR(IF(fTbl2[[#This Row],[LT]]="H",MID(fTbl2[[#This Row],[Hierarchy]],fTbl2[[#This Row],[pipe1]]+1,fTbl2[[#This Row],[pipe2]]-fTbl2[[#This Row],[pipe1]]-1),LEFT(fTbl2[[#This Row],[Hierarchy]],FIND("|",fTbl2[[#This Row],[Hierarchy]])-1)),"")</f>
        <v>iOrderLines</v>
      </c>
      <c r="L30" s="1">
        <f ca="1">IF(ROW()=3,0,OFFSET(fTbl2[[#This Row],[Lev]],-1,0)+IF(OFFSET(fTbl2[[#This Row],[LT]],-1,0)="H",1,IF(fTbl2[[#This Row],[LT]]="!H",-1,0)))</f>
        <v>2</v>
      </c>
      <c r="M30">
        <f>IF(RIGHT(fTbl2[[#This Row],[valid]],4)&lt;&gt;"list",0,IFERROR(MATCH(fTbl2[[#This Row],[Context]]&amp;"|"&amp;fTbl2[[#This Row],[Field]],Ltbl[ind],0),IFERROR(MATCH("ALL|"&amp;fTbl2[[#This Row],[Field]],Ltbl[ind],0),-1)))</f>
        <v>0</v>
      </c>
      <c r="N30" t="str" cm="1">
        <f t="array" ref="N30">IF(fTbl2[[#This Row],[listlu]]&lt;1,"",IF(INDEX(Ltbl[Generic],fTbl2[[#This Row],[listlu]])="","",INDEX(Ltbl[Generic],fTbl2[[#This Row],[listlu]])))</f>
        <v/>
      </c>
      <c r="O30">
        <f>IF(AND(fTbl2[[#This Row],[listlu]],ISERROR(FIND(",",fTbl2[[#This Row],[liMatch]])),fTbl2[[#This Row],[liMatch]]&lt;&gt;""),1,0)</f>
        <v>0</v>
      </c>
      <c r="P30">
        <f>IF(AND(fTbl2[[#This Row],[LT]]="Ref",ISNA(MATCH(fTbl2[[#This Row],[Field]],rTbl[Ref],0))),1,0)</f>
        <v>0</v>
      </c>
      <c r="Q30"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30">
        <f ca="1">FIND("~",SUBSTITUTE(fTbl2[[#This Row],[Hierarchy]],"|","~",1))</f>
        <v>12</v>
      </c>
      <c r="S30">
        <f ca="1">FIND("~",SUBSTITUTE(fTbl2[[#This Row],[Hierarchy]],"|","~",2))</f>
        <v>20</v>
      </c>
      <c r="T30" cm="1">
        <f t="array" ref="T30">IF(fTbl2[[#This Row],[listlu]]=0,0,IF(INDEX(Ltbl[Context],fTbl2[[#This Row],[listlu]],1)="ALL",1,2))</f>
        <v>0</v>
      </c>
      <c r="U30" s="29"/>
    </row>
    <row r="31" spans="1:21">
      <c r="A31" s="15" t="s">
        <v>28</v>
      </c>
      <c r="B31" t="s">
        <v>326</v>
      </c>
      <c r="C31" t="s">
        <v>94</v>
      </c>
      <c r="D31" s="1"/>
      <c r="E31" s="1">
        <v>0</v>
      </c>
      <c r="F31" s="1"/>
      <c r="G31" s="1"/>
      <c r="H31" s="1"/>
      <c r="I31" s="19" t="s">
        <v>327</v>
      </c>
      <c r="J31" s="27" t="s">
        <v>316</v>
      </c>
      <c r="K31" t="str">
        <f ca="1">IFERROR(IF(fTbl2[[#This Row],[LT]]="H",MID(fTbl2[[#This Row],[Hierarchy]],fTbl2[[#This Row],[pipe1]]+1,fTbl2[[#This Row],[pipe2]]-fTbl2[[#This Row],[pipe1]]-1),LEFT(fTbl2[[#This Row],[Hierarchy]],FIND("|",fTbl2[[#This Row],[Hierarchy]])-1)),"")</f>
        <v>iOrderLines</v>
      </c>
      <c r="L31" s="1">
        <f ca="1">IF(ROW()=3,0,OFFSET(fTbl2[[#This Row],[Lev]],-1,0)+IF(OFFSET(fTbl2[[#This Row],[LT]],-1,0)="H",1,IF(fTbl2[[#This Row],[LT]]="!H",-1,0)))</f>
        <v>2</v>
      </c>
      <c r="M31">
        <f>IF(RIGHT(fTbl2[[#This Row],[valid]],4)&lt;&gt;"list",0,IFERROR(MATCH(fTbl2[[#This Row],[Context]]&amp;"|"&amp;fTbl2[[#This Row],[Field]],Ltbl[ind],0),IFERROR(MATCH("ALL|"&amp;fTbl2[[#This Row],[Field]],Ltbl[ind],0),-1)))</f>
        <v>0</v>
      </c>
      <c r="N31" t="str" cm="1">
        <f t="array" ref="N31">IF(fTbl2[[#This Row],[listlu]]&lt;1,"",IF(INDEX(Ltbl[Generic],fTbl2[[#This Row],[listlu]])="","",INDEX(Ltbl[Generic],fTbl2[[#This Row],[listlu]])))</f>
        <v/>
      </c>
      <c r="O31">
        <f>IF(AND(fTbl2[[#This Row],[listlu]],ISERROR(FIND(",",fTbl2[[#This Row],[liMatch]])),fTbl2[[#This Row],[liMatch]]&lt;&gt;""),1,0)</f>
        <v>0</v>
      </c>
      <c r="P31">
        <f>IF(AND(fTbl2[[#This Row],[LT]]="Ref",ISNA(MATCH(fTbl2[[#This Row],[Field]],rTbl[Ref],0))),1,0)</f>
        <v>0</v>
      </c>
      <c r="Q31"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31">
        <f ca="1">FIND("~",SUBSTITUTE(fTbl2[[#This Row],[Hierarchy]],"|","~",1))</f>
        <v>12</v>
      </c>
      <c r="S31">
        <f ca="1">FIND("~",SUBSTITUTE(fTbl2[[#This Row],[Hierarchy]],"|","~",2))</f>
        <v>20</v>
      </c>
      <c r="T31" cm="1">
        <f t="array" ref="T31">IF(fTbl2[[#This Row],[listlu]]=0,0,IF(INDEX(Ltbl[Context],fTbl2[[#This Row],[listlu]],1)="ALL",1,2))</f>
        <v>0</v>
      </c>
      <c r="U31" s="29"/>
    </row>
    <row r="32" spans="1:21">
      <c r="A32" s="15" t="s">
        <v>28</v>
      </c>
      <c r="B32" t="s">
        <v>328</v>
      </c>
      <c r="C32" t="s">
        <v>84</v>
      </c>
      <c r="D32" s="1"/>
      <c r="E32" s="1">
        <v>0</v>
      </c>
      <c r="F32" s="1"/>
      <c r="G32" s="1"/>
      <c r="H32" s="1"/>
      <c r="I32" s="19" t="s">
        <v>329</v>
      </c>
      <c r="J32" s="27" t="s">
        <v>330</v>
      </c>
      <c r="K32" t="str">
        <f ca="1">IFERROR(IF(fTbl2[[#This Row],[LT]]="H",MID(fTbl2[[#This Row],[Hierarchy]],fTbl2[[#This Row],[pipe1]]+1,fTbl2[[#This Row],[pipe2]]-fTbl2[[#This Row],[pipe1]]-1),LEFT(fTbl2[[#This Row],[Hierarchy]],FIND("|",fTbl2[[#This Row],[Hierarchy]])-1)),"")</f>
        <v>iOrderLines</v>
      </c>
      <c r="L32" s="1">
        <f ca="1">IF(ROW()=3,0,OFFSET(fTbl2[[#This Row],[Lev]],-1,0)+IF(OFFSET(fTbl2[[#This Row],[LT]],-1,0)="H",1,IF(fTbl2[[#This Row],[LT]]="!H",-1,0)))</f>
        <v>2</v>
      </c>
      <c r="M32">
        <f>IF(RIGHT(fTbl2[[#This Row],[valid]],4)&lt;&gt;"list",0,IFERROR(MATCH(fTbl2[[#This Row],[Context]]&amp;"|"&amp;fTbl2[[#This Row],[Field]],Ltbl[ind],0),IFERROR(MATCH("ALL|"&amp;fTbl2[[#This Row],[Field]],Ltbl[ind],0),-1)))</f>
        <v>0</v>
      </c>
      <c r="N32" t="str" cm="1">
        <f t="array" ref="N32">IF(fTbl2[[#This Row],[listlu]]&lt;1,"",IF(INDEX(Ltbl[Generic],fTbl2[[#This Row],[listlu]])="","",INDEX(Ltbl[Generic],fTbl2[[#This Row],[listlu]])))</f>
        <v/>
      </c>
      <c r="O32">
        <f>IF(AND(fTbl2[[#This Row],[listlu]],ISERROR(FIND(",",fTbl2[[#This Row],[liMatch]])),fTbl2[[#This Row],[liMatch]]&lt;&gt;""),1,0)</f>
        <v>0</v>
      </c>
      <c r="P32">
        <f>IF(AND(fTbl2[[#This Row],[LT]]="Ref",ISNA(MATCH(fTbl2[[#This Row],[Field]],rTbl[Ref],0))),1,0)</f>
        <v>0</v>
      </c>
      <c r="Q32"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32">
        <f ca="1">FIND("~",SUBSTITUTE(fTbl2[[#This Row],[Hierarchy]],"|","~",1))</f>
        <v>12</v>
      </c>
      <c r="S32">
        <f ca="1">FIND("~",SUBSTITUTE(fTbl2[[#This Row],[Hierarchy]],"|","~",2))</f>
        <v>20</v>
      </c>
      <c r="T32" cm="1">
        <f t="array" ref="T32">IF(fTbl2[[#This Row],[listlu]]=0,0,IF(INDEX(Ltbl[Context],fTbl2[[#This Row],[listlu]],1)="ALL",1,2))</f>
        <v>0</v>
      </c>
      <c r="U32" s="29"/>
    </row>
    <row r="33" spans="1:21">
      <c r="A33" s="15" t="s">
        <v>28</v>
      </c>
      <c r="B33" t="s">
        <v>331</v>
      </c>
      <c r="C33" t="s">
        <v>30</v>
      </c>
      <c r="D33" s="1">
        <v>5</v>
      </c>
      <c r="E33" s="1">
        <v>0</v>
      </c>
      <c r="F33" s="1"/>
      <c r="G33" s="1"/>
      <c r="H33" s="1" t="s">
        <v>56</v>
      </c>
      <c r="I33" s="19" t="s">
        <v>332</v>
      </c>
      <c r="J33" s="28" t="s">
        <v>343</v>
      </c>
      <c r="K33" t="str">
        <f ca="1">IFERROR(IF(fTbl2[[#This Row],[LT]]="H",MID(fTbl2[[#This Row],[Hierarchy]],fTbl2[[#This Row],[pipe1]]+1,fTbl2[[#This Row],[pipe2]]-fTbl2[[#This Row],[pipe1]]-1),LEFT(fTbl2[[#This Row],[Hierarchy]],FIND("|",fTbl2[[#This Row],[Hierarchy]])-1)),"")</f>
        <v>iOrderLines</v>
      </c>
      <c r="L33" s="1">
        <f ca="1">IF(ROW()=3,0,OFFSET(fTbl2[[#This Row],[Lev]],-1,0)+IF(OFFSET(fTbl2[[#This Row],[LT]],-1,0)="H",1,IF(fTbl2[[#This Row],[LT]]="!H",-1,0)))</f>
        <v>2</v>
      </c>
      <c r="M33">
        <f ca="1">IF(RIGHT(fTbl2[[#This Row],[valid]],4)&lt;&gt;"list",0,IFERROR(MATCH(fTbl2[[#This Row],[Context]]&amp;"|"&amp;fTbl2[[#This Row],[Field]],Ltbl[ind],0),IFERROR(MATCH("ALL|"&amp;fTbl2[[#This Row],[Field]],Ltbl[ind],0),-1)))</f>
        <v>16</v>
      </c>
      <c r="N33" t="str" cm="1">
        <f t="array" aca="1" ref="N33" ca="1">IF(fTbl2[[#This Row],[listlu]]&lt;1,"",IF(INDEX(Ltbl[Generic],fTbl2[[#This Row],[listlu]])="","",INDEX(Ltbl[Generic],fTbl2[[#This Row],[listlu]])))</f>
        <v>GOOD,QA</v>
      </c>
      <c r="O33">
        <f ca="1">IF(AND(fTbl2[[#This Row],[listlu]],ISERROR(FIND(",",fTbl2[[#This Row],[liMatch]])),fTbl2[[#This Row],[liMatch]]&lt;&gt;""),1,0)</f>
        <v>0</v>
      </c>
      <c r="P33">
        <f>IF(AND(fTbl2[[#This Row],[LT]]="Ref",ISNA(MATCH(fTbl2[[#This Row],[Field]],rTbl[Ref],0))),1,0)</f>
        <v>0</v>
      </c>
      <c r="Q33"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33">
        <f ca="1">FIND("~",SUBSTITUTE(fTbl2[[#This Row],[Hierarchy]],"|","~",1))</f>
        <v>12</v>
      </c>
      <c r="S33">
        <f ca="1">FIND("~",SUBSTITUTE(fTbl2[[#This Row],[Hierarchy]],"|","~",2))</f>
        <v>20</v>
      </c>
      <c r="T33" cm="1">
        <f t="array" aca="1" ref="T33" ca="1">IF(fTbl2[[#This Row],[listlu]]=0,0,IF(INDEX(Ltbl[Context],fTbl2[[#This Row],[listlu]],1)="ALL",1,2))</f>
        <v>2</v>
      </c>
      <c r="U33" s="29"/>
    </row>
    <row r="34" spans="1:21">
      <c r="A34" s="15" t="s">
        <v>123</v>
      </c>
      <c r="B34" t="s">
        <v>142</v>
      </c>
      <c r="D34" s="1"/>
      <c r="E34" s="1">
        <v>0</v>
      </c>
      <c r="F34" s="1" t="s">
        <v>23</v>
      </c>
      <c r="G34" s="1"/>
      <c r="H34" s="1"/>
      <c r="I34" s="19" t="s">
        <v>176</v>
      </c>
      <c r="J34" s="28"/>
      <c r="K34" t="str">
        <f ca="1">IFERROR(IF(fTbl2[[#This Row],[LT]]="H",MID(fTbl2[[#This Row],[Hierarchy]],fTbl2[[#This Row],[pipe1]]+1,fTbl2[[#This Row],[pipe2]]-fTbl2[[#This Row],[pipe1]]-1),LEFT(fTbl2[[#This Row],[Hierarchy]],FIND("|",fTbl2[[#This Row],[Hierarchy]])-1)),"")</f>
        <v>iOrderLines</v>
      </c>
      <c r="L34" s="1">
        <f ca="1">IF(ROW()=3,0,OFFSET(fTbl2[[#This Row],[Lev]],-1,0)+IF(OFFSET(fTbl2[[#This Row],[LT]],-1,0)="H",1,IF(fTbl2[[#This Row],[LT]]="!H",-1,0)))</f>
        <v>2</v>
      </c>
      <c r="M34">
        <f>IF(RIGHT(fTbl2[[#This Row],[valid]],4)&lt;&gt;"list",0,IFERROR(MATCH(fTbl2[[#This Row],[Context]]&amp;"|"&amp;fTbl2[[#This Row],[Field]],Ltbl[ind],0),IFERROR(MATCH("ALL|"&amp;fTbl2[[#This Row],[Field]],Ltbl[ind],0),-1)))</f>
        <v>0</v>
      </c>
      <c r="N34" t="str" cm="1">
        <f t="array" ref="N34">IF(fTbl2[[#This Row],[listlu]]&lt;1,"",IF(INDEX(Ltbl[Generic],fTbl2[[#This Row],[listlu]])="","",INDEX(Ltbl[Generic],fTbl2[[#This Row],[listlu]])))</f>
        <v/>
      </c>
      <c r="O34">
        <f>IF(AND(fTbl2[[#This Row],[listlu]],ISERROR(FIND(",",fTbl2[[#This Row],[liMatch]])),fTbl2[[#This Row],[liMatch]]&lt;&gt;""),1,0)</f>
        <v>0</v>
      </c>
      <c r="P34">
        <f>IF(AND(fTbl2[[#This Row],[LT]]="Ref",ISNA(MATCH(fTbl2[[#This Row],[Field]],rTbl[Ref],0))),1,0)</f>
        <v>0</v>
      </c>
      <c r="Q34" t="str">
        <f ca="1">IF(ROW()=3,IF(fTbl2[[#This Row],[LT]]="H",fTbl2[[#This Row],[Field]]&amp;"|","|"),IF(fTbl2[[#This Row],[LT]]="H",fTbl2[[#This Row],[Field]]&amp;"|"&amp;OFFSET(fTbl2[[#This Row],[Hierarchy]],-1,0),IF(fTbl2[[#This Row],[LT]]&lt;&gt;"!H",OFFSET(fTbl2[[#This Row],[Hierarchy]],-1,0),RIGHT(OFFSET(fTbl2[[#This Row],[Hierarchy]],-1,0),LEN(OFFSET(fTbl2[[#This Row],[Hierarchy]],-1,0))-LEN(fTbl2[[#This Row],[Field]])-1))))</f>
        <v>iOrderLines|iOrders|</v>
      </c>
      <c r="R34">
        <f ca="1">FIND("~",SUBSTITUTE(fTbl2[[#This Row],[Hierarchy]],"|","~",1))</f>
        <v>12</v>
      </c>
      <c r="S34">
        <f ca="1">FIND("~",SUBSTITUTE(fTbl2[[#This Row],[Hierarchy]],"|","~",2))</f>
        <v>20</v>
      </c>
      <c r="T34" cm="1">
        <f t="array" ref="T34">IF(fTbl2[[#This Row],[listlu]]=0,0,IF(INDEX(Ltbl[Context],fTbl2[[#This Row],[listlu]],1)="ALL",1,2))</f>
        <v>0</v>
      </c>
      <c r="U34" s="29"/>
    </row>
    <row r="35" spans="1:21">
      <c r="A35" s="15" t="s">
        <v>177</v>
      </c>
      <c r="B35" t="s">
        <v>311</v>
      </c>
      <c r="D35" s="1"/>
      <c r="E35" s="1"/>
      <c r="F35" s="1"/>
      <c r="G35" s="1"/>
      <c r="H35" s="1"/>
      <c r="I35" s="19"/>
      <c r="J35" s="28"/>
      <c r="K35" t="str">
        <f ca="1">IFERROR(IF(fTbl2[[#This Row],[LT]]="H",MID(fTbl2[[#This Row],[Hierarchy]],fTbl2[[#This Row],[pipe1]]+1,fTbl2[[#This Row],[pipe2]]-fTbl2[[#This Row],[pipe1]]-1),LEFT(fTbl2[[#This Row],[Hierarchy]],FIND("|",fTbl2[[#This Row],[Hierarchy]])-1)),"")</f>
        <v>iOrders</v>
      </c>
      <c r="L35" s="1">
        <f ca="1">IF(ROW()=3,0,OFFSET(fTbl2[[#This Row],[Lev]],-1,0)+IF(OFFSET(fTbl2[[#This Row],[LT]],-1,0)="H",1,IF(fTbl2[[#This Row],[LT]]="!H",-1,0)))</f>
        <v>1</v>
      </c>
      <c r="M35">
        <f>IF(RIGHT(fTbl2[[#This Row],[valid]],4)&lt;&gt;"list",0,IFERROR(MATCH(fTbl2[[#This Row],[Context]]&amp;"|"&amp;fTbl2[[#This Row],[Field]],Ltbl[ind],0),IFERROR(MATCH("ALL|"&amp;fTbl2[[#This Row],[Field]],Ltbl[ind],0),-1)))</f>
        <v>0</v>
      </c>
      <c r="N35" t="str" cm="1">
        <f t="array" ref="N35">IF(fTbl2[[#This Row],[listlu]]&lt;1,"",IF(INDEX(Ltbl[Generic],fTbl2[[#This Row],[listlu]])="","",INDEX(Ltbl[Generic],fTbl2[[#This Row],[listlu]])))</f>
        <v/>
      </c>
      <c r="O35">
        <f>IF(AND(fTbl2[[#This Row],[listlu]],ISERROR(FIND(",",fTbl2[[#This Row],[liMatch]])),fTbl2[[#This Row],[liMatch]]&lt;&gt;""),1,0)</f>
        <v>0</v>
      </c>
      <c r="P35">
        <f>IF(AND(fTbl2[[#This Row],[LT]]="Ref",ISNA(MATCH(fTbl2[[#This Row],[Field]],rTbl[Ref],0))),1,0)</f>
        <v>0</v>
      </c>
      <c r="Q35" t="str">
        <f ca="1">IF(ROW()=3,IF(fTbl2[[#This Row],[LT]]="H",fTbl2[[#This Row],[Field]]&amp;"|","|"),IF(fTbl2[[#This Row],[LT]]="H",fTbl2[[#This Row],[Field]]&amp;"|"&amp;OFFSET(fTbl2[[#This Row],[Hierarchy]],-1,0),IF(fTbl2[[#This Row],[LT]]&lt;&gt;"!H",OFFSET(fTbl2[[#This Row],[Hierarchy]],-1,0),RIGHT(OFFSET(fTbl2[[#This Row],[Hierarchy]],-1,0),LEN(OFFSET(fTbl2[[#This Row],[Hierarchy]],-1,0))-LEN(fTbl2[[#This Row],[Field]])-1))))</f>
        <v>iOrders|</v>
      </c>
      <c r="R35">
        <f ca="1">FIND("~",SUBSTITUTE(fTbl2[[#This Row],[Hierarchy]],"|","~",1))</f>
        <v>8</v>
      </c>
      <c r="S35" t="e">
        <f ca="1">FIND("~",SUBSTITUTE(fTbl2[[#This Row],[Hierarchy]],"|","~",2))</f>
        <v>#VALUE!</v>
      </c>
      <c r="T35" cm="1">
        <f t="array" ref="T35">IF(fTbl2[[#This Row],[listlu]]=0,0,IF(INDEX(Ltbl[Context],fTbl2[[#This Row],[listlu]],1)="ALL",1,2))</f>
        <v>0</v>
      </c>
      <c r="U35" s="29"/>
    </row>
    <row r="36" spans="1:21">
      <c r="A36" s="15" t="s">
        <v>177</v>
      </c>
      <c r="B36" t="s">
        <v>284</v>
      </c>
      <c r="D36" s="1"/>
      <c r="E36" s="1"/>
      <c r="F36" s="1"/>
      <c r="G36" s="1"/>
      <c r="H36" s="1"/>
      <c r="I36" s="19"/>
      <c r="J36" s="28"/>
      <c r="K36" t="str">
        <f ca="1">IFERROR(IF(fTbl2[[#This Row],[LT]]="H",MID(fTbl2[[#This Row],[Hierarchy]],fTbl2[[#This Row],[pipe1]]+1,fTbl2[[#This Row],[pipe2]]-fTbl2[[#This Row],[pipe1]]-1),LEFT(fTbl2[[#This Row],[Hierarchy]],FIND("|",fTbl2[[#This Row],[Hierarchy]])-1)),"")</f>
        <v/>
      </c>
      <c r="L36" s="1">
        <f ca="1">IF(ROW()=3,0,OFFSET(fTbl2[[#This Row],[Lev]],-1,0)+IF(OFFSET(fTbl2[[#This Row],[LT]],-1,0)="H",1,IF(fTbl2[[#This Row],[LT]]="!H",-1,0)))</f>
        <v>0</v>
      </c>
      <c r="M36">
        <f>IF(RIGHT(fTbl2[[#This Row],[valid]],4)&lt;&gt;"list",0,IFERROR(MATCH(fTbl2[[#This Row],[Context]]&amp;"|"&amp;fTbl2[[#This Row],[Field]],Ltbl[ind],0),IFERROR(MATCH("ALL|"&amp;fTbl2[[#This Row],[Field]],Ltbl[ind],0),-1)))</f>
        <v>0</v>
      </c>
      <c r="N36" t="str" cm="1">
        <f t="array" ref="N36">IF(fTbl2[[#This Row],[listlu]]&lt;1,"",IF(INDEX(Ltbl[Generic],fTbl2[[#This Row],[listlu]])="","",INDEX(Ltbl[Generic],fTbl2[[#This Row],[listlu]])))</f>
        <v/>
      </c>
      <c r="O36">
        <f>IF(AND(fTbl2[[#This Row],[listlu]],ISERROR(FIND(",",fTbl2[[#This Row],[liMatch]])),fTbl2[[#This Row],[liMatch]]&lt;&gt;""),1,0)</f>
        <v>0</v>
      </c>
      <c r="P36">
        <f>IF(AND(fTbl2[[#This Row],[LT]]="Ref",ISNA(MATCH(fTbl2[[#This Row],[Field]],rTbl[Ref],0))),1,0)</f>
        <v>0</v>
      </c>
      <c r="Q36" t="str">
        <f ca="1">IF(ROW()=3,IF(fTbl2[[#This Row],[LT]]="H",fTbl2[[#This Row],[Field]]&amp;"|","|"),IF(fTbl2[[#This Row],[LT]]="H",fTbl2[[#This Row],[Field]]&amp;"|"&amp;OFFSET(fTbl2[[#This Row],[Hierarchy]],-1,0),IF(fTbl2[[#This Row],[LT]]&lt;&gt;"!H",OFFSET(fTbl2[[#This Row],[Hierarchy]],-1,0),RIGHT(OFFSET(fTbl2[[#This Row],[Hierarchy]],-1,0),LEN(OFFSET(fTbl2[[#This Row],[Hierarchy]],-1,0))-LEN(fTbl2[[#This Row],[Field]])-1))))</f>
        <v/>
      </c>
      <c r="R36" t="e">
        <f ca="1">FIND("~",SUBSTITUTE(fTbl2[[#This Row],[Hierarchy]],"|","~",1))</f>
        <v>#VALUE!</v>
      </c>
      <c r="S36" t="e">
        <f ca="1">FIND("~",SUBSTITUTE(fTbl2[[#This Row],[Hierarchy]],"|","~",2))</f>
        <v>#VALUE!</v>
      </c>
      <c r="T36" cm="1">
        <f t="array" ref="T36">IF(fTbl2[[#This Row],[listlu]]=0,0,IF(INDEX(Ltbl[Context],fTbl2[[#This Row],[listlu]],1)="ALL",1,2))</f>
        <v>0</v>
      </c>
      <c r="U36" s="29"/>
    </row>
  </sheetData>
  <conditionalFormatting sqref="A3:L36">
    <cfRule type="expression" dxfId="277" priority="11">
      <formula>($A3="!H")</formula>
    </cfRule>
    <cfRule type="expression" dxfId="276" priority="12">
      <formula>($A3="REF")</formula>
    </cfRule>
    <cfRule type="expression" dxfId="275" priority="13">
      <formula>($A3="C")</formula>
    </cfRule>
    <cfRule type="expression" dxfId="274" priority="14">
      <formula>($A3="H")</formula>
    </cfRule>
  </conditionalFormatting>
  <conditionalFormatting sqref="I1">
    <cfRule type="cellIs" dxfId="273" priority="6" operator="greaterThan">
      <formula>"@"</formula>
    </cfRule>
  </conditionalFormatting>
  <conditionalFormatting sqref="K3:K36">
    <cfRule type="expression" dxfId="272" priority="9">
      <formula>($A3="C")</formula>
    </cfRule>
    <cfRule type="expression" dxfId="271" priority="10">
      <formula>($A3="")</formula>
    </cfRule>
  </conditionalFormatting>
  <conditionalFormatting sqref="A3:A36">
    <cfRule type="expression" dxfId="270" priority="8">
      <formula>NOT(OR(A3="",A3="H",A3="E",A3="C",A3="!H",A3="Ref"))</formula>
    </cfRule>
  </conditionalFormatting>
  <conditionalFormatting sqref="H3:H36 J3:J36">
    <cfRule type="expression" dxfId="269" priority="7">
      <formula>($O3)</formula>
    </cfRule>
  </conditionalFormatting>
  <conditionalFormatting sqref="H3:H36">
    <cfRule type="expression" dxfId="268" priority="15">
      <formula>AND($M3&gt;0,$N3&lt;&gt;$J3)</formula>
    </cfRule>
    <cfRule type="expression" dxfId="267" priority="16">
      <formula>AND($M3&gt;0,$N3=$J3)</formula>
    </cfRule>
    <cfRule type="expression" dxfId="266" priority="17">
      <formula>($M3=-1)</formula>
    </cfRule>
  </conditionalFormatting>
  <conditionalFormatting sqref="J3:J36">
    <cfRule type="expression" dxfId="265" priority="2">
      <formula>AND(M3&gt;0,N3&lt;&gt;J3)</formula>
    </cfRule>
    <cfRule type="expression" dxfId="264" priority="18">
      <formula>AND($A3="E",$E3&lt;&gt;1)</formula>
    </cfRule>
  </conditionalFormatting>
  <conditionalFormatting sqref="B3:B36">
    <cfRule type="expression" dxfId="263" priority="1">
      <formula>$P3</formula>
    </cfRule>
    <cfRule type="expression" dxfId="262" priority="5">
      <formula>AND($A3="!H",$B3&lt;&gt;OFFSET($K3,-1,0))</formula>
    </cfRule>
    <cfRule type="expression" dxfId="261" priority="19">
      <formula>AND($A3="E",$E3=1)</formula>
    </cfRule>
  </conditionalFormatting>
  <conditionalFormatting sqref="G3:G36">
    <cfRule type="expression" dxfId="260" priority="3">
      <formula>($T3=2)</formula>
    </cfRule>
    <cfRule type="expression" dxfId="259" priority="4">
      <formula>($T3=1)</formula>
    </cfRule>
  </conditionalFormatting>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644A9-758E-4F3F-B28F-CF8AEF8E279A}">
  <sheetPr codeName="Sheet14">
    <tabColor rgb="FF92D050"/>
  </sheetPr>
  <dimension ref="A1:U37"/>
  <sheetViews>
    <sheetView workbookViewId="0">
      <selection activeCell="U3" sqref="U3"/>
    </sheetView>
  </sheetViews>
  <sheetFormatPr defaultRowHeight="15"/>
  <cols>
    <col min="1" max="1" width="5" customWidth="1"/>
    <col min="2" max="2" width="23" customWidth="1"/>
    <col min="4" max="4" width="6.42578125" customWidth="1"/>
    <col min="5" max="6" width="4.7109375" customWidth="1"/>
    <col min="7" max="7" width="1" customWidth="1"/>
    <col min="8" max="8" width="10.140625" customWidth="1"/>
    <col min="9" max="9" width="56.7109375" customWidth="1"/>
    <col min="10" max="10" width="43.5703125" customWidth="1"/>
    <col min="11" max="11" width="13.42578125" customWidth="1"/>
    <col min="12" max="12" width="5.5703125" customWidth="1"/>
    <col min="13" max="16" width="9.140625" hidden="1" customWidth="1"/>
    <col min="17" max="17" width="27.7109375" hidden="1" customWidth="1"/>
    <col min="18" max="20" width="9.140625" hidden="1" customWidth="1"/>
    <col min="21" max="21" width="58.42578125" customWidth="1"/>
  </cols>
  <sheetData>
    <row r="1" spans="1:21" ht="25.5" customHeight="1">
      <c r="I1" s="16" t="str">
        <f>IF(COUNTIFS(fTbl211[LT],"H")&lt;&gt;COUNTIFS(fTbl211[LT],"!H"),"Header imbalance # H &lt;&gt; # !H","")</f>
        <v/>
      </c>
    </row>
    <row r="2" spans="1:21">
      <c r="A2" s="14" t="s">
        <v>0</v>
      </c>
      <c r="B2" s="11" t="s">
        <v>1</v>
      </c>
      <c r="C2" s="11" t="s">
        <v>2</v>
      </c>
      <c r="D2" s="12" t="s">
        <v>3</v>
      </c>
      <c r="E2" s="12" t="s">
        <v>4</v>
      </c>
      <c r="F2" s="12" t="s">
        <v>5</v>
      </c>
      <c r="G2" s="12" t="s">
        <v>6</v>
      </c>
      <c r="H2" s="12" t="s">
        <v>7</v>
      </c>
      <c r="I2" s="18" t="s">
        <v>8</v>
      </c>
      <c r="J2" s="17" t="s">
        <v>9</v>
      </c>
      <c r="K2" s="30" t="s">
        <v>10</v>
      </c>
      <c r="L2" s="31" t="s">
        <v>11</v>
      </c>
      <c r="M2" s="13" t="s">
        <v>12</v>
      </c>
      <c r="N2" s="13" t="s">
        <v>13</v>
      </c>
      <c r="O2" s="13" t="s">
        <v>14</v>
      </c>
      <c r="P2" s="13" t="s">
        <v>15</v>
      </c>
      <c r="Q2" s="13" t="s">
        <v>16</v>
      </c>
      <c r="R2" s="13" t="s">
        <v>17</v>
      </c>
      <c r="S2" s="13" t="s">
        <v>18</v>
      </c>
      <c r="T2" s="13" t="s">
        <v>19</v>
      </c>
      <c r="U2" s="13" t="s">
        <v>20</v>
      </c>
    </row>
    <row r="3" spans="1:21">
      <c r="A3" s="15" t="s">
        <v>21</v>
      </c>
      <c r="B3" t="s">
        <v>344</v>
      </c>
      <c r="D3" s="1"/>
      <c r="E3" s="1">
        <v>1</v>
      </c>
      <c r="F3" s="1" t="s">
        <v>23</v>
      </c>
      <c r="G3" s="1"/>
      <c r="H3" s="1"/>
      <c r="I3" s="19" t="s">
        <v>285</v>
      </c>
      <c r="J3" s="28"/>
      <c r="K3" t="str">
        <f ca="1">IFERROR(IF(fTbl211[[#This Row],[LT]]="H",MID(fTbl211[[#This Row],[Hierarchy]],fTbl211[[#This Row],[pipe1]]+1,fTbl211[[#This Row],[pipe2]]-fTbl211[[#This Row],[pipe1]]-1),LEFT(fTbl211[[#This Row],[Hierarchy]],FIND("|",fTbl211[[#This Row],[Hierarchy]])-1)),"")</f>
        <v/>
      </c>
      <c r="L3" s="1">
        <f ca="1">IF(ROW()=3,0,OFFSET(fTbl211[[#This Row],[Lev]],-1,0)+IF(OFFSET(fTbl211[[#This Row],[LT]],-1,0)="H",1,IF(fTbl211[[#This Row],[LT]]="!H",-1,0)))</f>
        <v>0</v>
      </c>
      <c r="M3">
        <f>IF(fTbl211[[#This Row],[valid]]&lt;&gt;"list",0,IFERROR(MATCH(fTbl211[[#This Row],[Context]]&amp;"|"&amp;fTbl211[[#This Row],[Field]],Ltbl[ind],0),IFERROR(MATCH("ALL|"&amp;fTbl211[[#This Row],[Field]],Ltbl[ind],0),-1)))</f>
        <v>0</v>
      </c>
      <c r="N3" t="str" cm="1">
        <f t="array" ref="N3">IF(fTbl211[[#This Row],[listlu]]&lt;1,"",IF(INDEX(Ltbl[Generic],fTbl211[[#This Row],[listlu]])="","",INDEX(Ltbl[Generic],fTbl211[[#This Row],[listlu]])))</f>
        <v/>
      </c>
      <c r="O3">
        <f>IF(AND(fTbl211[[#This Row],[listlu]],ISERROR(FIND(",",fTbl211[[#This Row],[liMatch]])),fTbl211[[#This Row],[liMatch]]&lt;&gt;""),1,0)</f>
        <v>0</v>
      </c>
      <c r="P3">
        <f>IF(AND(fTbl211[[#This Row],[LT]]="Ref",ISNA(MATCH(fTbl211[[#This Row],[Field]],rTbl[Ref],0))),1,0)</f>
        <v>0</v>
      </c>
      <c r="Q3"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3">
        <f ca="1">FIND("~",SUBSTITUTE(fTbl211[[#This Row],[Hierarchy]],"|","~",1))</f>
        <v>8</v>
      </c>
      <c r="S3" t="e">
        <f ca="1">FIND("~",SUBSTITUTE(fTbl211[[#This Row],[Hierarchy]],"|","~",2))</f>
        <v>#VALUE!</v>
      </c>
      <c r="T3" cm="1">
        <f t="array" ref="T3">IF(fTbl211[[#This Row],[listlu]]=0,0,IF(INDEX(Ltbl[Context],fTbl211[[#This Row],[listlu]],1)="ALL",1,2))</f>
        <v>0</v>
      </c>
      <c r="U3" s="29"/>
    </row>
    <row r="4" spans="1:21">
      <c r="A4" s="15" t="s">
        <v>25</v>
      </c>
      <c r="B4" t="s">
        <v>26</v>
      </c>
      <c r="D4" s="1"/>
      <c r="E4" s="1"/>
      <c r="F4" s="1"/>
      <c r="G4" s="1"/>
      <c r="H4" s="1"/>
      <c r="I4" s="19" t="s">
        <v>27</v>
      </c>
      <c r="J4" s="28"/>
      <c r="K4" t="str">
        <f ca="1">IFERROR(IF(fTbl211[[#This Row],[LT]]="H",MID(fTbl211[[#This Row],[Hierarchy]],fTbl211[[#This Row],[pipe1]]+1,fTbl211[[#This Row],[pipe2]]-fTbl211[[#This Row],[pipe1]]-1),LEFT(fTbl211[[#This Row],[Hierarchy]],FIND("|",fTbl211[[#This Row],[Hierarchy]])-1)),"")</f>
        <v>rOrders</v>
      </c>
      <c r="L4" s="1">
        <f ca="1">IF(ROW()=3,0,OFFSET(fTbl211[[#This Row],[Lev]],-1,0)+IF(OFFSET(fTbl211[[#This Row],[LT]],-1,0)="H",1,IF(fTbl211[[#This Row],[LT]]="!H",-1,0)))</f>
        <v>1</v>
      </c>
      <c r="M4">
        <f>IF(fTbl211[[#This Row],[valid]]&lt;&gt;"list",0,IFERROR(MATCH(fTbl211[[#This Row],[Context]]&amp;"|"&amp;fTbl211[[#This Row],[Field]],Ltbl[ind],0),IFERROR(MATCH("ALL|"&amp;fTbl211[[#This Row],[Field]],Ltbl[ind],0),-1)))</f>
        <v>0</v>
      </c>
      <c r="N4" t="str" cm="1">
        <f t="array" ref="N4">IF(fTbl211[[#This Row],[listlu]]&lt;1,"",IF(INDEX(Ltbl[Generic],fTbl211[[#This Row],[listlu]])="","",INDEX(Ltbl[Generic],fTbl211[[#This Row],[listlu]])))</f>
        <v/>
      </c>
      <c r="O4">
        <f>IF(AND(fTbl211[[#This Row],[listlu]],ISERROR(FIND(",",fTbl211[[#This Row],[liMatch]])),fTbl211[[#This Row],[liMatch]]&lt;&gt;""),1,0)</f>
        <v>0</v>
      </c>
      <c r="P4">
        <f>IF(AND(fTbl211[[#This Row],[LT]]="Ref",ISNA(MATCH(fTbl211[[#This Row],[Field]],rTbl[Ref],0))),1,0)</f>
        <v>0</v>
      </c>
      <c r="Q4"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4">
        <f ca="1">FIND("~",SUBSTITUTE(fTbl211[[#This Row],[Hierarchy]],"|","~",1))</f>
        <v>8</v>
      </c>
      <c r="S4" t="e">
        <f ca="1">FIND("~",SUBSTITUTE(fTbl211[[#This Row],[Hierarchy]],"|","~",2))</f>
        <v>#VALUE!</v>
      </c>
      <c r="T4" cm="1">
        <f t="array" ref="T4">IF(fTbl211[[#This Row],[listlu]]=0,0,IF(INDEX(Ltbl[Context],fTbl211[[#This Row],[listlu]],1)="ALL",1,2))</f>
        <v>0</v>
      </c>
      <c r="U4" s="29"/>
    </row>
    <row r="5" spans="1:21">
      <c r="A5" s="15" t="s">
        <v>28</v>
      </c>
      <c r="B5" t="s">
        <v>29</v>
      </c>
      <c r="C5" t="s">
        <v>30</v>
      </c>
      <c r="D5" s="1">
        <v>15</v>
      </c>
      <c r="E5" s="1">
        <v>1</v>
      </c>
      <c r="F5" s="1"/>
      <c r="G5" s="1"/>
      <c r="H5" s="1" t="s">
        <v>345</v>
      </c>
      <c r="I5" s="19" t="s">
        <v>32</v>
      </c>
      <c r="J5" s="28" t="s">
        <v>286</v>
      </c>
      <c r="K5" t="str">
        <f ca="1">IFERROR(IF(fTbl211[[#This Row],[LT]]="H",MID(fTbl211[[#This Row],[Hierarchy]],fTbl211[[#This Row],[pipe1]]+1,fTbl211[[#This Row],[pipe2]]-fTbl211[[#This Row],[pipe1]]-1),LEFT(fTbl211[[#This Row],[Hierarchy]],FIND("|",fTbl211[[#This Row],[Hierarchy]])-1)),"")</f>
        <v>rOrders</v>
      </c>
      <c r="L5" s="1">
        <f ca="1">IF(ROW()=3,0,OFFSET(fTbl211[[#This Row],[Lev]],-1,0)+IF(OFFSET(fTbl211[[#This Row],[LT]],-1,0)="H",1,IF(fTbl211[[#This Row],[LT]]="!H",-1,0)))</f>
        <v>1</v>
      </c>
      <c r="M5">
        <f ca="1">IF(fTbl211[[#This Row],[valid]]&lt;&gt;"list",0,IFERROR(MATCH(fTbl211[[#This Row],[Context]]&amp;"|"&amp;fTbl211[[#This Row],[Field]],Ltbl[ind],0),IFERROR(MATCH("ALL|"&amp;fTbl211[[#This Row],[Field]],Ltbl[ind],0),-1)))</f>
        <v>1</v>
      </c>
      <c r="N5" t="str" cm="1">
        <f t="array" aca="1" ref="N5" ca="1">IF(fTbl211[[#This Row],[listlu]]&lt;1,"",IF(INDEX(Ltbl[Generic],fTbl211[[#This Row],[listlu]])="","",INDEX(Ltbl[Generic],fTbl211[[#This Row],[listlu]])))</f>
        <v>CUST</v>
      </c>
      <c r="O5">
        <f ca="1">IF(AND(fTbl211[[#This Row],[listlu]],ISERROR(FIND(",",fTbl211[[#This Row],[liMatch]])),fTbl211[[#This Row],[liMatch]]&lt;&gt;""),1,0)</f>
        <v>1</v>
      </c>
      <c r="P5">
        <f>IF(AND(fTbl211[[#This Row],[LT]]="Ref",ISNA(MATCH(fTbl211[[#This Row],[Field]],rTbl[Ref],0))),1,0)</f>
        <v>0</v>
      </c>
      <c r="Q5"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5">
        <f ca="1">FIND("~",SUBSTITUTE(fTbl211[[#This Row],[Hierarchy]],"|","~",1))</f>
        <v>8</v>
      </c>
      <c r="S5" t="e">
        <f ca="1">FIND("~",SUBSTITUTE(fTbl211[[#This Row],[Hierarchy]],"|","~",2))</f>
        <v>#VALUE!</v>
      </c>
      <c r="T5" cm="1">
        <f t="array" aca="1" ref="T5" ca="1">IF(fTbl211[[#This Row],[listlu]]=0,0,IF(INDEX(Ltbl[Context],fTbl211[[#This Row],[listlu]],1)="ALL",1,2))</f>
        <v>1</v>
      </c>
      <c r="U5" s="29"/>
    </row>
    <row r="6" spans="1:21">
      <c r="A6" s="15" t="s">
        <v>28</v>
      </c>
      <c r="B6" t="s">
        <v>34</v>
      </c>
      <c r="C6" t="s">
        <v>30</v>
      </c>
      <c r="D6" s="1">
        <v>15</v>
      </c>
      <c r="E6" s="1">
        <v>1</v>
      </c>
      <c r="F6" s="1"/>
      <c r="G6" s="1"/>
      <c r="H6" s="1" t="s">
        <v>56</v>
      </c>
      <c r="I6" s="19" t="s">
        <v>35</v>
      </c>
      <c r="J6" s="27" t="s">
        <v>206</v>
      </c>
      <c r="K6" t="str">
        <f ca="1">IFERROR(IF(fTbl211[[#This Row],[LT]]="H",MID(fTbl211[[#This Row],[Hierarchy]],fTbl211[[#This Row],[pipe1]]+1,fTbl211[[#This Row],[pipe2]]-fTbl211[[#This Row],[pipe1]]-1),LEFT(fTbl211[[#This Row],[Hierarchy]],FIND("|",fTbl211[[#This Row],[Hierarchy]])-1)),"")</f>
        <v>rOrders</v>
      </c>
      <c r="L6" s="1">
        <f ca="1">IF(ROW()=3,0,OFFSET(fTbl211[[#This Row],[Lev]],-1,0)+IF(OFFSET(fTbl211[[#This Row],[LT]],-1,0)="H",1,IF(fTbl211[[#This Row],[LT]]="!H",-1,0)))</f>
        <v>1</v>
      </c>
      <c r="M6">
        <f ca="1">IF(fTbl211[[#This Row],[valid]]&lt;&gt;"list",0,IFERROR(MATCH(fTbl211[[#This Row],[Context]]&amp;"|"&amp;fTbl211[[#This Row],[Field]],Ltbl[ind],0),IFERROR(MATCH("ALL|"&amp;fTbl211[[#This Row],[Field]],Ltbl[ind],0),-1)))</f>
        <v>6</v>
      </c>
      <c r="N6" t="str" cm="1">
        <f t="array" aca="1" ref="N6" ca="1">IF(fTbl211[[#This Row],[listlu]]&lt;1,"",IF(INDEX(Ltbl[Generic],fTbl211[[#This Row],[listlu]])="","",INDEX(Ltbl[Generic],fTbl211[[#This Row],[listlu]])))</f>
        <v>NORTHAMPTON</v>
      </c>
      <c r="O6">
        <f ca="1">IF(AND(fTbl211[[#This Row],[listlu]],ISERROR(FIND(",",fTbl211[[#This Row],[liMatch]])),fTbl211[[#This Row],[liMatch]]&lt;&gt;""),1,0)</f>
        <v>1</v>
      </c>
      <c r="P6">
        <f>IF(AND(fTbl211[[#This Row],[LT]]="Ref",ISNA(MATCH(fTbl211[[#This Row],[Field]],rTbl[Ref],0))),1,0)</f>
        <v>0</v>
      </c>
      <c r="Q6"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6">
        <f ca="1">FIND("~",SUBSTITUTE(fTbl211[[#This Row],[Hierarchy]],"|","~",1))</f>
        <v>8</v>
      </c>
      <c r="S6" t="e">
        <f ca="1">FIND("~",SUBSTITUTE(fTbl211[[#This Row],[Hierarchy]],"|","~",2))</f>
        <v>#VALUE!</v>
      </c>
      <c r="T6" cm="1">
        <f t="array" aca="1" ref="T6" ca="1">IF(fTbl211[[#This Row],[listlu]]=0,0,IF(INDEX(Ltbl[Context],fTbl211[[#This Row],[listlu]],1)="ALL",1,2))</f>
        <v>1</v>
      </c>
      <c r="U6" s="29"/>
    </row>
    <row r="7" spans="1:21">
      <c r="A7" s="15" t="s">
        <v>28</v>
      </c>
      <c r="B7" t="s">
        <v>37</v>
      </c>
      <c r="C7" t="s">
        <v>30</v>
      </c>
      <c r="D7" s="1">
        <v>15</v>
      </c>
      <c r="E7" s="1">
        <v>1</v>
      </c>
      <c r="F7" s="1"/>
      <c r="G7" s="1"/>
      <c r="H7" s="1" t="s">
        <v>56</v>
      </c>
      <c r="I7" s="19" t="s">
        <v>38</v>
      </c>
      <c r="J7" s="28" t="s">
        <v>286</v>
      </c>
      <c r="K7" t="str">
        <f ca="1">IFERROR(IF(fTbl211[[#This Row],[LT]]="H",MID(fTbl211[[#This Row],[Hierarchy]],fTbl211[[#This Row],[pipe1]]+1,fTbl211[[#This Row],[pipe2]]-fTbl211[[#This Row],[pipe1]]-1),LEFT(fTbl211[[#This Row],[Hierarchy]],FIND("|",fTbl211[[#This Row],[Hierarchy]])-1)),"")</f>
        <v>rOrders</v>
      </c>
      <c r="L7" s="1">
        <f ca="1">IF(ROW()=3,0,OFFSET(fTbl211[[#This Row],[Lev]],-1,0)+IF(OFFSET(fTbl211[[#This Row],[LT]],-1,0)="H",1,IF(fTbl211[[#This Row],[LT]]="!H",-1,0)))</f>
        <v>1</v>
      </c>
      <c r="M7">
        <f ca="1">IF(fTbl211[[#This Row],[valid]]&lt;&gt;"list",0,IFERROR(MATCH(fTbl211[[#This Row],[Context]]&amp;"|"&amp;fTbl211[[#This Row],[Field]],Ltbl[ind],0),IFERROR(MATCH("ALL|"&amp;fTbl211[[#This Row],[Field]],Ltbl[ind],0),-1)))</f>
        <v>9</v>
      </c>
      <c r="N7" t="str" cm="1">
        <f t="array" aca="1" ref="N7" ca="1">IF(fTbl211[[#This Row],[listlu]]&lt;1,"",IF(INDEX(Ltbl[Generic],fTbl211[[#This Row],[listlu]])="","",INDEX(Ltbl[Generic],fTbl211[[#This Row],[listlu]])))</f>
        <v>ECOM,WS,BULK</v>
      </c>
      <c r="O7">
        <f ca="1">IF(AND(fTbl211[[#This Row],[listlu]],ISERROR(FIND(",",fTbl211[[#This Row],[liMatch]])),fTbl211[[#This Row],[liMatch]]&lt;&gt;""),1,0)</f>
        <v>0</v>
      </c>
      <c r="P7">
        <f>IF(AND(fTbl211[[#This Row],[LT]]="Ref",ISNA(MATCH(fTbl211[[#This Row],[Field]],rTbl[Ref],0))),1,0)</f>
        <v>0</v>
      </c>
      <c r="Q7"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7">
        <f ca="1">FIND("~",SUBSTITUTE(fTbl211[[#This Row],[Hierarchy]],"|","~",1))</f>
        <v>8</v>
      </c>
      <c r="S7" t="e">
        <f ca="1">FIND("~",SUBSTITUTE(fTbl211[[#This Row],[Hierarchy]],"|","~",2))</f>
        <v>#VALUE!</v>
      </c>
      <c r="T7" cm="1">
        <f t="array" aca="1" ref="T7" ca="1">IF(fTbl211[[#This Row],[listlu]]=0,0,IF(INDEX(Ltbl[Context],fTbl211[[#This Row],[listlu]],1)="ALL",1,2))</f>
        <v>1</v>
      </c>
      <c r="U7" s="29"/>
    </row>
    <row r="8" spans="1:21">
      <c r="A8" s="15" t="s">
        <v>28</v>
      </c>
      <c r="B8" t="s">
        <v>40</v>
      </c>
      <c r="C8" t="s">
        <v>30</v>
      </c>
      <c r="D8" s="1">
        <v>250</v>
      </c>
      <c r="E8" s="1">
        <v>0</v>
      </c>
      <c r="F8" s="1"/>
      <c r="G8" s="1"/>
      <c r="H8" s="1"/>
      <c r="I8" s="19" t="s">
        <v>41</v>
      </c>
      <c r="J8" s="28" t="s">
        <v>42</v>
      </c>
      <c r="K8" t="str">
        <f ca="1">IFERROR(IF(fTbl211[[#This Row],[LT]]="H",MID(fTbl211[[#This Row],[Hierarchy]],fTbl211[[#This Row],[pipe1]]+1,fTbl211[[#This Row],[pipe2]]-fTbl211[[#This Row],[pipe1]]-1),LEFT(fTbl211[[#This Row],[Hierarchy]],FIND("|",fTbl211[[#This Row],[Hierarchy]])-1)),"")</f>
        <v>rOrders</v>
      </c>
      <c r="L8" s="1">
        <f ca="1">IF(ROW()=3,0,OFFSET(fTbl211[[#This Row],[Lev]],-1,0)+IF(OFFSET(fTbl211[[#This Row],[LT]],-1,0)="H",1,IF(fTbl211[[#This Row],[LT]]="!H",-1,0)))</f>
        <v>1</v>
      </c>
      <c r="M8">
        <f>IF(fTbl211[[#This Row],[valid]]&lt;&gt;"list",0,IFERROR(MATCH(fTbl211[[#This Row],[Context]]&amp;"|"&amp;fTbl211[[#This Row],[Field]],Ltbl[ind],0),IFERROR(MATCH("ALL|"&amp;fTbl211[[#This Row],[Field]],Ltbl[ind],0),-1)))</f>
        <v>0</v>
      </c>
      <c r="N8" t="str" cm="1">
        <f t="array" ref="N8">IF(fTbl211[[#This Row],[listlu]]&lt;1,"",IF(INDEX(Ltbl[Generic],fTbl211[[#This Row],[listlu]])="","",INDEX(Ltbl[Generic],fTbl211[[#This Row],[listlu]])))</f>
        <v/>
      </c>
      <c r="O8">
        <f>IF(AND(fTbl211[[#This Row],[listlu]],ISERROR(FIND(",",fTbl211[[#This Row],[liMatch]])),fTbl211[[#This Row],[liMatch]]&lt;&gt;""),1,0)</f>
        <v>0</v>
      </c>
      <c r="P8">
        <f>IF(AND(fTbl211[[#This Row],[LT]]="Ref",ISNA(MATCH(fTbl211[[#This Row],[Field]],rTbl[Ref],0))),1,0)</f>
        <v>0</v>
      </c>
      <c r="Q8"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8">
        <f ca="1">FIND("~",SUBSTITUTE(fTbl211[[#This Row],[Hierarchy]],"|","~",1))</f>
        <v>8</v>
      </c>
      <c r="S8" t="e">
        <f ca="1">FIND("~",SUBSTITUTE(fTbl211[[#This Row],[Hierarchy]],"|","~",2))</f>
        <v>#VALUE!</v>
      </c>
      <c r="T8" cm="1">
        <f t="array" ref="T8">IF(fTbl211[[#This Row],[listlu]]=0,0,IF(INDEX(Ltbl[Context],fTbl211[[#This Row],[listlu]],1)="ALL",1,2))</f>
        <v>0</v>
      </c>
      <c r="U8" s="29"/>
    </row>
    <row r="9" spans="1:21">
      <c r="A9" s="15" t="s">
        <v>28</v>
      </c>
      <c r="B9" t="s">
        <v>43</v>
      </c>
      <c r="C9" t="s">
        <v>30</v>
      </c>
      <c r="D9" s="1">
        <v>50</v>
      </c>
      <c r="E9" s="1">
        <v>0</v>
      </c>
      <c r="F9" s="1"/>
      <c r="G9" s="1"/>
      <c r="H9" s="1"/>
      <c r="I9" s="19" t="s">
        <v>44</v>
      </c>
      <c r="J9" s="28" t="s">
        <v>45</v>
      </c>
      <c r="K9" t="str">
        <f ca="1">IFERROR(IF(fTbl211[[#This Row],[LT]]="H",MID(fTbl211[[#This Row],[Hierarchy]],fTbl211[[#This Row],[pipe1]]+1,fTbl211[[#This Row],[pipe2]]-fTbl211[[#This Row],[pipe1]]-1),LEFT(fTbl211[[#This Row],[Hierarchy]],FIND("|",fTbl211[[#This Row],[Hierarchy]])-1)),"")</f>
        <v>rOrders</v>
      </c>
      <c r="L9" s="1">
        <f ca="1">IF(ROW()=3,0,OFFSET(fTbl211[[#This Row],[Lev]],-1,0)+IF(OFFSET(fTbl211[[#This Row],[LT]],-1,0)="H",1,IF(fTbl211[[#This Row],[LT]]="!H",-1,0)))</f>
        <v>1</v>
      </c>
      <c r="M9">
        <f>IF(fTbl211[[#This Row],[valid]]&lt;&gt;"list",0,IFERROR(MATCH(fTbl211[[#This Row],[Context]]&amp;"|"&amp;fTbl211[[#This Row],[Field]],Ltbl[ind],0),IFERROR(MATCH("ALL|"&amp;fTbl211[[#This Row],[Field]],Ltbl[ind],0),-1)))</f>
        <v>0</v>
      </c>
      <c r="N9" t="str" cm="1">
        <f t="array" ref="N9">IF(fTbl211[[#This Row],[listlu]]&lt;1,"",IF(INDEX(Ltbl[Generic],fTbl211[[#This Row],[listlu]])="","",INDEX(Ltbl[Generic],fTbl211[[#This Row],[listlu]])))</f>
        <v/>
      </c>
      <c r="O9">
        <f>IF(AND(fTbl211[[#This Row],[listlu]],ISERROR(FIND(",",fTbl211[[#This Row],[liMatch]])),fTbl211[[#This Row],[liMatch]]&lt;&gt;""),1,0)</f>
        <v>0</v>
      </c>
      <c r="P9">
        <f>IF(AND(fTbl211[[#This Row],[LT]]="Ref",ISNA(MATCH(fTbl211[[#This Row],[Field]],rTbl[Ref],0))),1,0)</f>
        <v>0</v>
      </c>
      <c r="Q9"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9">
        <f ca="1">FIND("~",SUBSTITUTE(fTbl211[[#This Row],[Hierarchy]],"|","~",1))</f>
        <v>8</v>
      </c>
      <c r="S9" t="e">
        <f ca="1">FIND("~",SUBSTITUTE(fTbl211[[#This Row],[Hierarchy]],"|","~",2))</f>
        <v>#VALUE!</v>
      </c>
      <c r="T9" cm="1">
        <f t="array" ref="T9">IF(fTbl211[[#This Row],[listlu]]=0,0,IF(INDEX(Ltbl[Context],fTbl211[[#This Row],[listlu]],1)="ALL",1,2))</f>
        <v>0</v>
      </c>
      <c r="U9" s="29"/>
    </row>
    <row r="10" spans="1:21">
      <c r="A10" s="15" t="s">
        <v>25</v>
      </c>
      <c r="B10" t="s">
        <v>53</v>
      </c>
      <c r="D10" s="1"/>
      <c r="E10" s="1"/>
      <c r="F10" s="1"/>
      <c r="G10" s="1"/>
      <c r="H10" s="1"/>
      <c r="I10" s="19" t="s">
        <v>54</v>
      </c>
      <c r="J10" s="28"/>
      <c r="K10" t="str">
        <f ca="1">IFERROR(IF(fTbl211[[#This Row],[LT]]="H",MID(fTbl211[[#This Row],[Hierarchy]],fTbl211[[#This Row],[pipe1]]+1,fTbl211[[#This Row],[pipe2]]-fTbl211[[#This Row],[pipe1]]-1),LEFT(fTbl211[[#This Row],[Hierarchy]],FIND("|",fTbl211[[#This Row],[Hierarchy]])-1)),"")</f>
        <v>rOrders</v>
      </c>
      <c r="L10" s="1">
        <f ca="1">IF(ROW()=3,0,OFFSET(fTbl211[[#This Row],[Lev]],-1,0)+IF(OFFSET(fTbl211[[#This Row],[LT]],-1,0)="H",1,IF(fTbl211[[#This Row],[LT]]="!H",-1,0)))</f>
        <v>1</v>
      </c>
      <c r="M10">
        <f>IF(fTbl211[[#This Row],[valid]]&lt;&gt;"list",0,IFERROR(MATCH(fTbl211[[#This Row],[Context]]&amp;"|"&amp;fTbl211[[#This Row],[Field]],Ltbl[ind],0),IFERROR(MATCH("ALL|"&amp;fTbl211[[#This Row],[Field]],Ltbl[ind],0),-1)))</f>
        <v>0</v>
      </c>
      <c r="N10" t="str" cm="1">
        <f t="array" ref="N10">IF(fTbl211[[#This Row],[listlu]]&lt;1,"",IF(INDEX(Ltbl[Generic],fTbl211[[#This Row],[listlu]])="","",INDEX(Ltbl[Generic],fTbl211[[#This Row],[listlu]])))</f>
        <v/>
      </c>
      <c r="O10">
        <f>IF(AND(fTbl211[[#This Row],[listlu]],ISERROR(FIND(",",fTbl211[[#This Row],[liMatch]])),fTbl211[[#This Row],[liMatch]]&lt;&gt;""),1,0)</f>
        <v>0</v>
      </c>
      <c r="P10">
        <f>IF(AND(fTbl211[[#This Row],[LT]]="Ref",ISNA(MATCH(fTbl211[[#This Row],[Field]],rTbl[Ref],0))),1,0)</f>
        <v>0</v>
      </c>
      <c r="Q10"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10">
        <f ca="1">FIND("~",SUBSTITUTE(fTbl211[[#This Row],[Hierarchy]],"|","~",1))</f>
        <v>8</v>
      </c>
      <c r="S10" t="e">
        <f ca="1">FIND("~",SUBSTITUTE(fTbl211[[#This Row],[Hierarchy]],"|","~",2))</f>
        <v>#VALUE!</v>
      </c>
      <c r="T10" cm="1">
        <f t="array" ref="T10">IF(fTbl211[[#This Row],[listlu]]=0,0,IF(INDEX(Ltbl[Context],fTbl211[[#This Row],[listlu]],1)="ALL",1,2))</f>
        <v>0</v>
      </c>
      <c r="U10" s="29"/>
    </row>
    <row r="11" spans="1:21">
      <c r="A11" s="15" t="s">
        <v>28</v>
      </c>
      <c r="B11" t="s">
        <v>55</v>
      </c>
      <c r="C11" t="s">
        <v>30</v>
      </c>
      <c r="D11" s="1">
        <v>5</v>
      </c>
      <c r="E11" s="1">
        <v>1</v>
      </c>
      <c r="F11" s="1"/>
      <c r="G11" s="1"/>
      <c r="H11" s="1" t="s">
        <v>56</v>
      </c>
      <c r="I11" s="19" t="s">
        <v>346</v>
      </c>
      <c r="J11" s="28" t="s">
        <v>347</v>
      </c>
      <c r="K11" t="str">
        <f ca="1">IFERROR(IF(fTbl211[[#This Row],[LT]]="H",MID(fTbl211[[#This Row],[Hierarchy]],fTbl211[[#This Row],[pipe1]]+1,fTbl211[[#This Row],[pipe2]]-fTbl211[[#This Row],[pipe1]]-1),LEFT(fTbl211[[#This Row],[Hierarchy]],FIND("|",fTbl211[[#This Row],[Hierarchy]])-1)),"")</f>
        <v>rOrders</v>
      </c>
      <c r="L11" s="1">
        <f ca="1">IF(ROW()=3,0,OFFSET(fTbl211[[#This Row],[Lev]],-1,0)+IF(OFFSET(fTbl211[[#This Row],[LT]],-1,0)="H",1,IF(fTbl211[[#This Row],[LT]]="!H",-1,0)))</f>
        <v>1</v>
      </c>
      <c r="M11">
        <f ca="1">IF(fTbl211[[#This Row],[valid]]&lt;&gt;"list",0,IFERROR(MATCH(fTbl211[[#This Row],[Context]]&amp;"|"&amp;fTbl211[[#This Row],[Field]],Ltbl[ind],0),IFERROR(MATCH("ALL|"&amp;fTbl211[[#This Row],[Field]],Ltbl[ind],0),-1)))</f>
        <v>31</v>
      </c>
      <c r="N11" t="str" cm="1">
        <f t="array" aca="1" ref="N11" ca="1">IF(fTbl211[[#This Row],[listlu]]&lt;1,"",IF(INDEX(Ltbl[Generic],fTbl211[[#This Row],[listlu]])="","",INDEX(Ltbl[Generic],fTbl211[[#This Row],[listlu]])))</f>
        <v>RETK,RETU</v>
      </c>
      <c r="O11">
        <f ca="1">IF(AND(fTbl211[[#This Row],[listlu]],ISERROR(FIND(",",fTbl211[[#This Row],[liMatch]])),fTbl211[[#This Row],[liMatch]]&lt;&gt;""),1,0)</f>
        <v>0</v>
      </c>
      <c r="P11">
        <f>IF(AND(fTbl211[[#This Row],[LT]]="Ref",ISNA(MATCH(fTbl211[[#This Row],[Field]],rTbl[Ref],0))),1,0)</f>
        <v>0</v>
      </c>
      <c r="Q11"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11">
        <f ca="1">FIND("~",SUBSTITUTE(fTbl211[[#This Row],[Hierarchy]],"|","~",1))</f>
        <v>8</v>
      </c>
      <c r="S11" t="e">
        <f ca="1">FIND("~",SUBSTITUTE(fTbl211[[#This Row],[Hierarchy]],"|","~",2))</f>
        <v>#VALUE!</v>
      </c>
      <c r="T11" cm="1">
        <f t="array" aca="1" ref="T11" ca="1">IF(fTbl211[[#This Row],[listlu]]=0,0,IF(INDEX(Ltbl[Context],fTbl211[[#This Row],[listlu]],1)="ALL",1,2))</f>
        <v>2</v>
      </c>
      <c r="U11" s="29"/>
    </row>
    <row r="12" spans="1:21">
      <c r="A12" s="15" t="s">
        <v>28</v>
      </c>
      <c r="B12" t="s">
        <v>60</v>
      </c>
      <c r="C12" t="s">
        <v>30</v>
      </c>
      <c r="D12" s="1">
        <v>5</v>
      </c>
      <c r="E12" s="1">
        <v>1</v>
      </c>
      <c r="F12" s="1"/>
      <c r="G12" s="1"/>
      <c r="H12" s="1" t="s">
        <v>56</v>
      </c>
      <c r="I12" s="19" t="s">
        <v>229</v>
      </c>
      <c r="J12" s="28" t="s">
        <v>62</v>
      </c>
      <c r="K12" t="str">
        <f ca="1">IFERROR(IF(fTbl211[[#This Row],[LT]]="H",MID(fTbl211[[#This Row],[Hierarchy]],fTbl211[[#This Row],[pipe1]]+1,fTbl211[[#This Row],[pipe2]]-fTbl211[[#This Row],[pipe1]]-1),LEFT(fTbl211[[#This Row],[Hierarchy]],FIND("|",fTbl211[[#This Row],[Hierarchy]])-1)),"")</f>
        <v>rOrders</v>
      </c>
      <c r="L12" s="1">
        <f ca="1">IF(ROW()=3,0,OFFSET(fTbl211[[#This Row],[Lev]],-1,0)+IF(OFFSET(fTbl211[[#This Row],[LT]],-1,0)="H",1,IF(fTbl211[[#This Row],[LT]]="!H",-1,0)))</f>
        <v>1</v>
      </c>
      <c r="M12">
        <f ca="1">IF(fTbl211[[#This Row],[valid]]&lt;&gt;"list",0,IFERROR(MATCH(fTbl211[[#This Row],[Context]]&amp;"|"&amp;fTbl211[[#This Row],[Field]],Ltbl[ind],0),IFERROR(MATCH("ALL|"&amp;fTbl211[[#This Row],[Field]],Ltbl[ind],0),-1)))</f>
        <v>8</v>
      </c>
      <c r="N12" t="str" cm="1">
        <f t="array" aca="1" ref="N12" ca="1">IF(fTbl211[[#This Row],[listlu]]&lt;1,"",IF(INDEX(Ltbl[Generic],fTbl211[[#This Row],[listlu]])="","",INDEX(Ltbl[Generic],fTbl211[[#This Row],[listlu]])))</f>
        <v>NEW,UPD</v>
      </c>
      <c r="O12">
        <f ca="1">IF(AND(fTbl211[[#This Row],[listlu]],ISERROR(FIND(",",fTbl211[[#This Row],[liMatch]])),fTbl211[[#This Row],[liMatch]]&lt;&gt;""),1,0)</f>
        <v>0</v>
      </c>
      <c r="P12">
        <f>IF(AND(fTbl211[[#This Row],[LT]]="Ref",ISNA(MATCH(fTbl211[[#This Row],[Field]],rTbl[Ref],0))),1,0)</f>
        <v>0</v>
      </c>
      <c r="Q12"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12">
        <f ca="1">FIND("~",SUBSTITUTE(fTbl211[[#This Row],[Hierarchy]],"|","~",1))</f>
        <v>8</v>
      </c>
      <c r="S12" t="e">
        <f ca="1">FIND("~",SUBSTITUTE(fTbl211[[#This Row],[Hierarchy]],"|","~",2))</f>
        <v>#VALUE!</v>
      </c>
      <c r="T12" cm="1">
        <f t="array" aca="1" ref="T12" ca="1">IF(fTbl211[[#This Row],[listlu]]=0,0,IF(INDEX(Ltbl[Context],fTbl211[[#This Row],[listlu]],1)="ALL",1,2))</f>
        <v>1</v>
      </c>
      <c r="U12" s="29"/>
    </row>
    <row r="13" spans="1:21">
      <c r="A13" s="15" t="s">
        <v>28</v>
      </c>
      <c r="B13" t="s">
        <v>64</v>
      </c>
      <c r="C13" t="s">
        <v>30</v>
      </c>
      <c r="D13" s="1">
        <v>10</v>
      </c>
      <c r="E13" s="1">
        <v>1</v>
      </c>
      <c r="F13" s="1"/>
      <c r="G13" s="1"/>
      <c r="H13" s="1" t="s">
        <v>56</v>
      </c>
      <c r="I13" s="19" t="s">
        <v>348</v>
      </c>
      <c r="J13" s="28" t="s">
        <v>349</v>
      </c>
      <c r="K13" t="str">
        <f ca="1">IFERROR(IF(fTbl211[[#This Row],[LT]]="H",MID(fTbl211[[#This Row],[Hierarchy]],fTbl211[[#This Row],[pipe1]]+1,fTbl211[[#This Row],[pipe2]]-fTbl211[[#This Row],[pipe1]]-1),LEFT(fTbl211[[#This Row],[Hierarchy]],FIND("|",fTbl211[[#This Row],[Hierarchy]])-1)),"")</f>
        <v>rOrders</v>
      </c>
      <c r="L13" s="1">
        <f ca="1">IF(ROW()=3,0,OFFSET(fTbl211[[#This Row],[Lev]],-1,0)+IF(OFFSET(fTbl211[[#This Row],[LT]],-1,0)="H",1,IF(fTbl211[[#This Row],[LT]]="!H",-1,0)))</f>
        <v>1</v>
      </c>
      <c r="M13">
        <f ca="1">IF(fTbl211[[#This Row],[valid]]&lt;&gt;"list",0,IFERROR(MATCH(fTbl211[[#This Row],[Context]]&amp;"|"&amp;fTbl211[[#This Row],[Field]],Ltbl[ind],0),IFERROR(MATCH("ALL|"&amp;fTbl211[[#This Row],[Field]],Ltbl[ind],0),-1)))</f>
        <v>30</v>
      </c>
      <c r="N13" t="str" cm="1">
        <f t="array" aca="1" ref="N13" ca="1">IF(fTbl211[[#This Row],[listlu]]&lt;1,"",IF(INDEX(Ltbl[Generic],fTbl211[[#This Row],[listlu]])="","",INDEX(Ltbl[Generic],fTbl211[[#This Row],[listlu]])))</f>
        <v>STD</v>
      </c>
      <c r="O13">
        <f ca="1">IF(AND(fTbl211[[#This Row],[listlu]],ISERROR(FIND(",",fTbl211[[#This Row],[liMatch]])),fTbl211[[#This Row],[liMatch]]&lt;&gt;""),1,0)</f>
        <v>1</v>
      </c>
      <c r="P13">
        <f>IF(AND(fTbl211[[#This Row],[LT]]="Ref",ISNA(MATCH(fTbl211[[#This Row],[Field]],rTbl[Ref],0))),1,0)</f>
        <v>0</v>
      </c>
      <c r="Q13"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13">
        <f ca="1">FIND("~",SUBSTITUTE(fTbl211[[#This Row],[Hierarchy]],"|","~",1))</f>
        <v>8</v>
      </c>
      <c r="S13" t="e">
        <f ca="1">FIND("~",SUBSTITUTE(fTbl211[[#This Row],[Hierarchy]],"|","~",2))</f>
        <v>#VALUE!</v>
      </c>
      <c r="T13" cm="1">
        <f t="array" aca="1" ref="T13" ca="1">IF(fTbl211[[#This Row],[listlu]]=0,0,IF(INDEX(Ltbl[Context],fTbl211[[#This Row],[listlu]],1)="ALL",1,2))</f>
        <v>2</v>
      </c>
      <c r="U13" s="29"/>
    </row>
    <row r="14" spans="1:21" ht="15" customHeight="1">
      <c r="A14" s="15" t="s">
        <v>28</v>
      </c>
      <c r="B14" t="s">
        <v>98</v>
      </c>
      <c r="C14" t="s">
        <v>231</v>
      </c>
      <c r="D14" s="1"/>
      <c r="E14" s="1">
        <v>0</v>
      </c>
      <c r="F14" s="1"/>
      <c r="G14" s="1"/>
      <c r="H14" s="1"/>
      <c r="I14" s="19" t="s">
        <v>99</v>
      </c>
      <c r="J14" s="27" t="s">
        <v>96</v>
      </c>
      <c r="K14" t="str">
        <f ca="1">IFERROR(IF(fTbl211[[#This Row],[LT]]="H",MID(fTbl211[[#This Row],[Hierarchy]],fTbl211[[#This Row],[pipe1]]+1,fTbl211[[#This Row],[pipe2]]-fTbl211[[#This Row],[pipe1]]-1),LEFT(fTbl211[[#This Row],[Hierarchy]],FIND("|",fTbl211[[#This Row],[Hierarchy]])-1)),"")</f>
        <v>rOrders</v>
      </c>
      <c r="L14" s="1">
        <f ca="1">IF(ROW()=3,0,OFFSET(fTbl211[[#This Row],[Lev]],-1,0)+IF(OFFSET(fTbl211[[#This Row],[LT]],-1,0)="H",1,IF(fTbl211[[#This Row],[LT]]="!H",-1,0)))</f>
        <v>1</v>
      </c>
      <c r="M14">
        <f>IF(fTbl211[[#This Row],[valid]]&lt;&gt;"list",0,IFERROR(MATCH(fTbl211[[#This Row],[Context]]&amp;"|"&amp;fTbl211[[#This Row],[Field]],Ltbl[ind],0),IFERROR(MATCH("ALL|"&amp;fTbl211[[#This Row],[Field]],Ltbl[ind],0),-1)))</f>
        <v>0</v>
      </c>
      <c r="N14" t="str" cm="1">
        <f t="array" ref="N14">IF(fTbl211[[#This Row],[listlu]]&lt;1,"",IF(INDEX(Ltbl[Generic],fTbl211[[#This Row],[listlu]])="","",INDEX(Ltbl[Generic],fTbl211[[#This Row],[listlu]])))</f>
        <v/>
      </c>
      <c r="O14">
        <f>IF(AND(fTbl211[[#This Row],[listlu]],ISERROR(FIND(",",fTbl211[[#This Row],[liMatch]])),fTbl211[[#This Row],[liMatch]]&lt;&gt;""),1,0)</f>
        <v>0</v>
      </c>
      <c r="P14">
        <f>IF(AND(fTbl211[[#This Row],[LT]]="Ref",ISNA(MATCH(fTbl211[[#This Row],[Field]],rTbl[Ref],0))),1,0)</f>
        <v>0</v>
      </c>
      <c r="Q14"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14">
        <f ca="1">FIND("~",SUBSTITUTE(fTbl211[[#This Row],[Hierarchy]],"|","~",1))</f>
        <v>8</v>
      </c>
      <c r="S14" t="e">
        <f ca="1">FIND("~",SUBSTITUTE(fTbl211[[#This Row],[Hierarchy]],"|","~",2))</f>
        <v>#VALUE!</v>
      </c>
      <c r="T14" cm="1">
        <f t="array" ref="T14">IF(fTbl211[[#This Row],[listlu]]=0,0,IF(INDEX(Ltbl[Context],fTbl211[[#This Row],[listlu]],1)="ALL",1,2))</f>
        <v>0</v>
      </c>
      <c r="U14" s="29"/>
    </row>
    <row r="15" spans="1:21">
      <c r="A15" s="15" t="s">
        <v>25</v>
      </c>
      <c r="B15" t="s">
        <v>101</v>
      </c>
      <c r="D15" s="1"/>
      <c r="E15" s="1"/>
      <c r="F15" s="1"/>
      <c r="G15" s="1"/>
      <c r="H15" s="1"/>
      <c r="I15" s="19" t="s">
        <v>102</v>
      </c>
      <c r="J15" s="28"/>
      <c r="K15" t="str">
        <f ca="1">IFERROR(IF(fTbl211[[#This Row],[LT]]="H",MID(fTbl211[[#This Row],[Hierarchy]],fTbl211[[#This Row],[pipe1]]+1,fTbl211[[#This Row],[pipe2]]-fTbl211[[#This Row],[pipe1]]-1),LEFT(fTbl211[[#This Row],[Hierarchy]],FIND("|",fTbl211[[#This Row],[Hierarchy]])-1)),"")</f>
        <v>rOrders</v>
      </c>
      <c r="L15" s="1">
        <f ca="1">IF(ROW()=3,0,OFFSET(fTbl211[[#This Row],[Lev]],-1,0)+IF(OFFSET(fTbl211[[#This Row],[LT]],-1,0)="H",1,IF(fTbl211[[#This Row],[LT]]="!H",-1,0)))</f>
        <v>1</v>
      </c>
      <c r="M15">
        <f>IF(fTbl211[[#This Row],[valid]]&lt;&gt;"list",0,IFERROR(MATCH(fTbl211[[#This Row],[Context]]&amp;"|"&amp;fTbl211[[#This Row],[Field]],Ltbl[ind],0),IFERROR(MATCH("ALL|"&amp;fTbl211[[#This Row],[Field]],Ltbl[ind],0),-1)))</f>
        <v>0</v>
      </c>
      <c r="N15" t="str" cm="1">
        <f t="array" ref="N15">IF(fTbl211[[#This Row],[listlu]]&lt;1,"",IF(INDEX(Ltbl[Generic],fTbl211[[#This Row],[listlu]])="","",INDEX(Ltbl[Generic],fTbl211[[#This Row],[listlu]])))</f>
        <v/>
      </c>
      <c r="O15">
        <f>IF(AND(fTbl211[[#This Row],[listlu]],ISERROR(FIND(",",fTbl211[[#This Row],[liMatch]])),fTbl211[[#This Row],[liMatch]]&lt;&gt;""),1,0)</f>
        <v>0</v>
      </c>
      <c r="P15">
        <f>IF(AND(fTbl211[[#This Row],[LT]]="Ref",ISNA(MATCH(fTbl211[[#This Row],[Field]],rTbl[Ref],0))),1,0)</f>
        <v>0</v>
      </c>
      <c r="Q15"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15">
        <f ca="1">FIND("~",SUBSTITUTE(fTbl211[[#This Row],[Hierarchy]],"|","~",1))</f>
        <v>8</v>
      </c>
      <c r="S15" t="e">
        <f ca="1">FIND("~",SUBSTITUTE(fTbl211[[#This Row],[Hierarchy]],"|","~",2))</f>
        <v>#VALUE!</v>
      </c>
      <c r="T15" cm="1">
        <f t="array" ref="T15">IF(fTbl211[[#This Row],[listlu]]=0,0,IF(INDEX(Ltbl[Context],fTbl211[[#This Row],[listlu]],1)="ALL",1,2))</f>
        <v>0</v>
      </c>
      <c r="U15" s="29"/>
    </row>
    <row r="16" spans="1:21">
      <c r="A16" s="15" t="s">
        <v>28</v>
      </c>
      <c r="B16" t="s">
        <v>103</v>
      </c>
      <c r="C16" t="s">
        <v>30</v>
      </c>
      <c r="D16" s="1">
        <v>20</v>
      </c>
      <c r="E16" s="1">
        <v>1</v>
      </c>
      <c r="F16" s="1"/>
      <c r="G16" s="1"/>
      <c r="H16" s="1" t="s">
        <v>104</v>
      </c>
      <c r="I16" s="49" t="s">
        <v>350</v>
      </c>
      <c r="J16" s="28" t="s">
        <v>45</v>
      </c>
      <c r="K16" t="str">
        <f ca="1">IFERROR(IF(fTbl211[[#This Row],[LT]]="H",MID(fTbl211[[#This Row],[Hierarchy]],fTbl211[[#This Row],[pipe1]]+1,fTbl211[[#This Row],[pipe2]]-fTbl211[[#This Row],[pipe1]]-1),LEFT(fTbl211[[#This Row],[Hierarchy]],FIND("|",fTbl211[[#This Row],[Hierarchy]])-1)),"")</f>
        <v>rOrders</v>
      </c>
      <c r="L16" s="1">
        <f ca="1">IF(ROW()=3,0,OFFSET(fTbl211[[#This Row],[Lev]],-1,0)+IF(OFFSET(fTbl211[[#This Row],[LT]],-1,0)="H",1,IF(fTbl211[[#This Row],[LT]]="!H",-1,0)))</f>
        <v>1</v>
      </c>
      <c r="M16">
        <f>IF(fTbl211[[#This Row],[valid]]&lt;&gt;"list",0,IFERROR(MATCH(fTbl211[[#This Row],[Context]]&amp;"|"&amp;fTbl211[[#This Row],[Field]],Ltbl[ind],0),IFERROR(MATCH("ALL|"&amp;fTbl211[[#This Row],[Field]],Ltbl[ind],0),-1)))</f>
        <v>0</v>
      </c>
      <c r="N16" t="str" cm="1">
        <f t="array" ref="N16">IF(fTbl211[[#This Row],[listlu]]&lt;1,"",IF(INDEX(Ltbl[Generic],fTbl211[[#This Row],[listlu]])="","",INDEX(Ltbl[Generic],fTbl211[[#This Row],[listlu]])))</f>
        <v/>
      </c>
      <c r="O16">
        <f>IF(AND(fTbl211[[#This Row],[listlu]],ISERROR(FIND(",",fTbl211[[#This Row],[liMatch]])),fTbl211[[#This Row],[liMatch]]&lt;&gt;""),1,0)</f>
        <v>0</v>
      </c>
      <c r="P16">
        <f>IF(AND(fTbl211[[#This Row],[LT]]="Ref",ISNA(MATCH(fTbl211[[#This Row],[Field]],rTbl[Ref],0))),1,0)</f>
        <v>0</v>
      </c>
      <c r="Q16"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16">
        <f ca="1">FIND("~",SUBSTITUTE(fTbl211[[#This Row],[Hierarchy]],"|","~",1))</f>
        <v>8</v>
      </c>
      <c r="S16" t="e">
        <f ca="1">FIND("~",SUBSTITUTE(fTbl211[[#This Row],[Hierarchy]],"|","~",2))</f>
        <v>#VALUE!</v>
      </c>
      <c r="T16" cm="1">
        <f t="array" ref="T16">IF(fTbl211[[#This Row],[listlu]]=0,0,IF(INDEX(Ltbl[Context],fTbl211[[#This Row],[listlu]],1)="ALL",1,2))</f>
        <v>0</v>
      </c>
      <c r="U16" s="29"/>
    </row>
    <row r="17" spans="1:21">
      <c r="A17" s="15" t="s">
        <v>28</v>
      </c>
      <c r="B17" t="s">
        <v>181</v>
      </c>
      <c r="C17" t="s">
        <v>30</v>
      </c>
      <c r="D17" s="1">
        <v>20</v>
      </c>
      <c r="E17" s="1">
        <v>1</v>
      </c>
      <c r="F17" s="1"/>
      <c r="G17" s="1"/>
      <c r="H17" s="1"/>
      <c r="I17" s="19" t="s">
        <v>351</v>
      </c>
      <c r="J17" s="28" t="s">
        <v>352</v>
      </c>
      <c r="K17" t="str">
        <f ca="1">IFERROR(IF(fTbl211[[#This Row],[LT]]="H",MID(fTbl211[[#This Row],[Hierarchy]],fTbl211[[#This Row],[pipe1]]+1,fTbl211[[#This Row],[pipe2]]-fTbl211[[#This Row],[pipe1]]-1),LEFT(fTbl211[[#This Row],[Hierarchy]],FIND("|",fTbl211[[#This Row],[Hierarchy]])-1)),"")</f>
        <v>rOrders</v>
      </c>
      <c r="L17" s="1">
        <f ca="1">IF(ROW()=3,0,OFFSET(fTbl211[[#This Row],[Lev]],-1,0)+IF(OFFSET(fTbl211[[#This Row],[LT]],-1,0)="H",1,IF(fTbl211[[#This Row],[LT]]="!H",-1,0)))</f>
        <v>1</v>
      </c>
      <c r="M17">
        <f>IF(fTbl211[[#This Row],[valid]]&lt;&gt;"list",0,IFERROR(MATCH(fTbl211[[#This Row],[Context]]&amp;"|"&amp;fTbl211[[#This Row],[Field]],Ltbl[ind],0),IFERROR(MATCH("ALL|"&amp;fTbl211[[#This Row],[Field]],Ltbl[ind],0),-1)))</f>
        <v>0</v>
      </c>
      <c r="N17" t="str" cm="1">
        <f t="array" ref="N17">IF(fTbl211[[#This Row],[listlu]]&lt;1,"",IF(INDEX(Ltbl[Generic],fTbl211[[#This Row],[listlu]])="","",INDEX(Ltbl[Generic],fTbl211[[#This Row],[listlu]])))</f>
        <v/>
      </c>
      <c r="O17">
        <f>IF(AND(fTbl211[[#This Row],[listlu]],ISERROR(FIND(",",fTbl211[[#This Row],[liMatch]])),fTbl211[[#This Row],[liMatch]]&lt;&gt;""),1,0)</f>
        <v>0</v>
      </c>
      <c r="P17">
        <f>IF(AND(fTbl211[[#This Row],[LT]]="Ref",ISNA(MATCH(fTbl211[[#This Row],[Field]],rTbl[Ref],0))),1,0)</f>
        <v>0</v>
      </c>
      <c r="Q17"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17">
        <f ca="1">FIND("~",SUBSTITUTE(fTbl211[[#This Row],[Hierarchy]],"|","~",1))</f>
        <v>8</v>
      </c>
      <c r="S17" t="e">
        <f ca="1">FIND("~",SUBSTITUTE(fTbl211[[#This Row],[Hierarchy]],"|","~",2))</f>
        <v>#VALUE!</v>
      </c>
      <c r="T17" cm="1">
        <f t="array" ref="T17">IF(fTbl211[[#This Row],[listlu]]=0,0,IF(INDEX(Ltbl[Context],fTbl211[[#This Row],[listlu]],1)="ALL",1,2))</f>
        <v>0</v>
      </c>
      <c r="U17" s="29"/>
    </row>
    <row r="18" spans="1:21">
      <c r="A18" s="15" t="s">
        <v>28</v>
      </c>
      <c r="B18" t="s">
        <v>107</v>
      </c>
      <c r="C18" t="s">
        <v>30</v>
      </c>
      <c r="D18" s="1">
        <v>35</v>
      </c>
      <c r="E18" s="1">
        <v>1</v>
      </c>
      <c r="F18" s="1"/>
      <c r="G18" s="1"/>
      <c r="H18" s="1"/>
      <c r="I18" s="49" t="s">
        <v>353</v>
      </c>
      <c r="J18" s="28" t="s">
        <v>354</v>
      </c>
      <c r="K18" t="str">
        <f ca="1">IFERROR(IF(fTbl211[[#This Row],[LT]]="H",MID(fTbl211[[#This Row],[Hierarchy]],fTbl211[[#This Row],[pipe1]]+1,fTbl211[[#This Row],[pipe2]]-fTbl211[[#This Row],[pipe1]]-1),LEFT(fTbl211[[#This Row],[Hierarchy]],FIND("|",fTbl211[[#This Row],[Hierarchy]])-1)),"")</f>
        <v>rOrders</v>
      </c>
      <c r="L18" s="1">
        <f ca="1">IF(ROW()=3,0,OFFSET(fTbl211[[#This Row],[Lev]],-1,0)+IF(OFFSET(fTbl211[[#This Row],[LT]],-1,0)="H",1,IF(fTbl211[[#This Row],[LT]]="!H",-1,0)))</f>
        <v>1</v>
      </c>
      <c r="M18">
        <f>IF(fTbl211[[#This Row],[valid]]&lt;&gt;"list",0,IFERROR(MATCH(fTbl211[[#This Row],[Context]]&amp;"|"&amp;fTbl211[[#This Row],[Field]],Ltbl[ind],0),IFERROR(MATCH("ALL|"&amp;fTbl211[[#This Row],[Field]],Ltbl[ind],0),-1)))</f>
        <v>0</v>
      </c>
      <c r="N18" t="str" cm="1">
        <f t="array" ref="N18">IF(fTbl211[[#This Row],[listlu]]&lt;1,"",IF(INDEX(Ltbl[Generic],fTbl211[[#This Row],[listlu]])="","",INDEX(Ltbl[Generic],fTbl211[[#This Row],[listlu]])))</f>
        <v/>
      </c>
      <c r="O18">
        <f>IF(AND(fTbl211[[#This Row],[listlu]],ISERROR(FIND(",",fTbl211[[#This Row],[liMatch]])),fTbl211[[#This Row],[liMatch]]&lt;&gt;""),1,0)</f>
        <v>0</v>
      </c>
      <c r="P18">
        <f>IF(AND(fTbl211[[#This Row],[LT]]="Ref",ISNA(MATCH(fTbl211[[#This Row],[Field]],rTbl[Ref],0))),1,0)</f>
        <v>0</v>
      </c>
      <c r="Q18"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18">
        <f ca="1">FIND("~",SUBSTITUTE(fTbl211[[#This Row],[Hierarchy]],"|","~",1))</f>
        <v>8</v>
      </c>
      <c r="S18" t="e">
        <f ca="1">FIND("~",SUBSTITUTE(fTbl211[[#This Row],[Hierarchy]],"|","~",2))</f>
        <v>#VALUE!</v>
      </c>
      <c r="T18" cm="1">
        <f t="array" ref="T18">IF(fTbl211[[#This Row],[listlu]]=0,0,IF(INDEX(Ltbl[Context],fTbl211[[#This Row],[listlu]],1)="ALL",1,2))</f>
        <v>0</v>
      </c>
      <c r="U18" s="29"/>
    </row>
    <row r="19" spans="1:21">
      <c r="A19" s="15" t="s">
        <v>28</v>
      </c>
      <c r="B19" t="s">
        <v>111</v>
      </c>
      <c r="C19" t="s">
        <v>30</v>
      </c>
      <c r="D19" s="1">
        <v>35</v>
      </c>
      <c r="E19" s="1">
        <v>0</v>
      </c>
      <c r="F19" s="1"/>
      <c r="G19" s="1"/>
      <c r="H19" s="1"/>
      <c r="I19" s="19" t="s">
        <v>108</v>
      </c>
      <c r="J19" s="28" t="s">
        <v>112</v>
      </c>
      <c r="K19" t="str">
        <f ca="1">IFERROR(IF(fTbl211[[#This Row],[LT]]="H",MID(fTbl211[[#This Row],[Hierarchy]],fTbl211[[#This Row],[pipe1]]+1,fTbl211[[#This Row],[pipe2]]-fTbl211[[#This Row],[pipe1]]-1),LEFT(fTbl211[[#This Row],[Hierarchy]],FIND("|",fTbl211[[#This Row],[Hierarchy]])-1)),"")</f>
        <v>rOrders</v>
      </c>
      <c r="L19" s="1">
        <f ca="1">IF(ROW()=3,0,OFFSET(fTbl211[[#This Row],[Lev]],-1,0)+IF(OFFSET(fTbl211[[#This Row],[LT]],-1,0)="H",1,IF(fTbl211[[#This Row],[LT]]="!H",-1,0)))</f>
        <v>1</v>
      </c>
      <c r="M19">
        <f>IF(fTbl211[[#This Row],[valid]]&lt;&gt;"list",0,IFERROR(MATCH(fTbl211[[#This Row],[Context]]&amp;"|"&amp;fTbl211[[#This Row],[Field]],Ltbl[ind],0),IFERROR(MATCH("ALL|"&amp;fTbl211[[#This Row],[Field]],Ltbl[ind],0),-1)))</f>
        <v>0</v>
      </c>
      <c r="N19" t="str" cm="1">
        <f t="array" ref="N19">IF(fTbl211[[#This Row],[listlu]]&lt;1,"",IF(INDEX(Ltbl[Generic],fTbl211[[#This Row],[listlu]])="","",INDEX(Ltbl[Generic],fTbl211[[#This Row],[listlu]])))</f>
        <v/>
      </c>
      <c r="O19">
        <f>IF(AND(fTbl211[[#This Row],[listlu]],ISERROR(FIND(",",fTbl211[[#This Row],[liMatch]])),fTbl211[[#This Row],[liMatch]]&lt;&gt;""),1,0)</f>
        <v>0</v>
      </c>
      <c r="P19">
        <f>IF(AND(fTbl211[[#This Row],[LT]]="Ref",ISNA(MATCH(fTbl211[[#This Row],[Field]],rTbl[Ref],0))),1,0)</f>
        <v>0</v>
      </c>
      <c r="Q19"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19">
        <f ca="1">FIND("~",SUBSTITUTE(fTbl211[[#This Row],[Hierarchy]],"|","~",1))</f>
        <v>8</v>
      </c>
      <c r="S19" t="e">
        <f ca="1">FIND("~",SUBSTITUTE(fTbl211[[#This Row],[Hierarchy]],"|","~",2))</f>
        <v>#VALUE!</v>
      </c>
      <c r="T19" cm="1">
        <f t="array" ref="T19">IF(fTbl211[[#This Row],[listlu]]=0,0,IF(INDEX(Ltbl[Context],fTbl211[[#This Row],[listlu]],1)="ALL",1,2))</f>
        <v>0</v>
      </c>
      <c r="U19" s="29"/>
    </row>
    <row r="20" spans="1:21">
      <c r="A20" s="15" t="s">
        <v>28</v>
      </c>
      <c r="B20" t="s">
        <v>114</v>
      </c>
      <c r="C20" t="s">
        <v>30</v>
      </c>
      <c r="D20" s="1">
        <v>35</v>
      </c>
      <c r="E20" s="1">
        <v>0</v>
      </c>
      <c r="F20" s="1"/>
      <c r="G20" s="1"/>
      <c r="H20" s="1"/>
      <c r="I20" s="19" t="s">
        <v>115</v>
      </c>
      <c r="J20" s="28" t="s">
        <v>355</v>
      </c>
      <c r="K20" t="str">
        <f ca="1">IFERROR(IF(fTbl211[[#This Row],[LT]]="H",MID(fTbl211[[#This Row],[Hierarchy]],fTbl211[[#This Row],[pipe1]]+1,fTbl211[[#This Row],[pipe2]]-fTbl211[[#This Row],[pipe1]]-1),LEFT(fTbl211[[#This Row],[Hierarchy]],FIND("|",fTbl211[[#This Row],[Hierarchy]])-1)),"")</f>
        <v>rOrders</v>
      </c>
      <c r="L20" s="1">
        <f ca="1">IF(ROW()=3,0,OFFSET(fTbl211[[#This Row],[Lev]],-1,0)+IF(OFFSET(fTbl211[[#This Row],[LT]],-1,0)="H",1,IF(fTbl211[[#This Row],[LT]]="!H",-1,0)))</f>
        <v>1</v>
      </c>
      <c r="M20">
        <f>IF(fTbl211[[#This Row],[valid]]&lt;&gt;"list",0,IFERROR(MATCH(fTbl211[[#This Row],[Context]]&amp;"|"&amp;fTbl211[[#This Row],[Field]],Ltbl[ind],0),IFERROR(MATCH("ALL|"&amp;fTbl211[[#This Row],[Field]],Ltbl[ind],0),-1)))</f>
        <v>0</v>
      </c>
      <c r="N20" t="str" cm="1">
        <f t="array" ref="N20">IF(fTbl211[[#This Row],[listlu]]&lt;1,"",IF(INDEX(Ltbl[Generic],fTbl211[[#This Row],[listlu]])="","",INDEX(Ltbl[Generic],fTbl211[[#This Row],[listlu]])))</f>
        <v/>
      </c>
      <c r="O20">
        <f>IF(AND(fTbl211[[#This Row],[listlu]],ISERROR(FIND(",",fTbl211[[#This Row],[liMatch]])),fTbl211[[#This Row],[liMatch]]&lt;&gt;""),1,0)</f>
        <v>0</v>
      </c>
      <c r="P20">
        <f>IF(AND(fTbl211[[#This Row],[LT]]="Ref",ISNA(MATCH(fTbl211[[#This Row],[Field]],rTbl[Ref],0))),1,0)</f>
        <v>0</v>
      </c>
      <c r="Q20"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20">
        <f ca="1">FIND("~",SUBSTITUTE(fTbl211[[#This Row],[Hierarchy]],"|","~",1))</f>
        <v>8</v>
      </c>
      <c r="S20" t="e">
        <f ca="1">FIND("~",SUBSTITUTE(fTbl211[[#This Row],[Hierarchy]],"|","~",2))</f>
        <v>#VALUE!</v>
      </c>
      <c r="T20" cm="1">
        <f t="array" ref="T20">IF(fTbl211[[#This Row],[listlu]]=0,0,IF(INDEX(Ltbl[Context],fTbl211[[#This Row],[listlu]],1)="ALL",1,2))</f>
        <v>0</v>
      </c>
      <c r="U20" s="29"/>
    </row>
    <row r="21" spans="1:21">
      <c r="A21" s="15" t="s">
        <v>28</v>
      </c>
      <c r="B21" t="s">
        <v>117</v>
      </c>
      <c r="C21" t="s">
        <v>30</v>
      </c>
      <c r="D21" s="1">
        <v>250</v>
      </c>
      <c r="E21" s="1">
        <v>0</v>
      </c>
      <c r="F21" s="1"/>
      <c r="G21" s="1"/>
      <c r="H21" s="1"/>
      <c r="I21" s="19" t="s">
        <v>297</v>
      </c>
      <c r="J21" s="28" t="s">
        <v>298</v>
      </c>
      <c r="K21" t="str">
        <f ca="1">IFERROR(IF(fTbl211[[#This Row],[LT]]="H",MID(fTbl211[[#This Row],[Hierarchy]],fTbl211[[#This Row],[pipe1]]+1,fTbl211[[#This Row],[pipe2]]-fTbl211[[#This Row],[pipe1]]-1),LEFT(fTbl211[[#This Row],[Hierarchy]],FIND("|",fTbl211[[#This Row],[Hierarchy]])-1)),"")</f>
        <v>rOrders</v>
      </c>
      <c r="L21" s="1">
        <f ca="1">IF(ROW()=3,0,OFFSET(fTbl211[[#This Row],[Lev]],-1,0)+IF(OFFSET(fTbl211[[#This Row],[LT]],-1,0)="H",1,IF(fTbl211[[#This Row],[LT]]="!H",-1,0)))</f>
        <v>1</v>
      </c>
      <c r="M21">
        <f>IF(fTbl211[[#This Row],[valid]]&lt;&gt;"list",0,IFERROR(MATCH(fTbl211[[#This Row],[Context]]&amp;"|"&amp;fTbl211[[#This Row],[Field]],Ltbl[ind],0),IFERROR(MATCH("ALL|"&amp;fTbl211[[#This Row],[Field]],Ltbl[ind],0),-1)))</f>
        <v>0</v>
      </c>
      <c r="N21" t="str" cm="1">
        <f t="array" ref="N21">IF(fTbl211[[#This Row],[listlu]]&lt;1,"",IF(INDEX(Ltbl[Generic],fTbl211[[#This Row],[listlu]])="","",INDEX(Ltbl[Generic],fTbl211[[#This Row],[listlu]])))</f>
        <v/>
      </c>
      <c r="O21">
        <f>IF(AND(fTbl211[[#This Row],[listlu]],ISERROR(FIND(",",fTbl211[[#This Row],[liMatch]])),fTbl211[[#This Row],[liMatch]]&lt;&gt;""),1,0)</f>
        <v>0</v>
      </c>
      <c r="P21">
        <f>IF(AND(fTbl211[[#This Row],[LT]]="Ref",ISNA(MATCH(fTbl211[[#This Row],[Field]],rTbl[Ref],0))),1,0)</f>
        <v>0</v>
      </c>
      <c r="Q21"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21">
        <f ca="1">FIND("~",SUBSTITUTE(fTbl211[[#This Row],[Hierarchy]],"|","~",1))</f>
        <v>8</v>
      </c>
      <c r="S21" t="e">
        <f ca="1">FIND("~",SUBSTITUTE(fTbl211[[#This Row],[Hierarchy]],"|","~",2))</f>
        <v>#VALUE!</v>
      </c>
      <c r="T21" cm="1">
        <f t="array" ref="T21">IF(fTbl211[[#This Row],[listlu]]=0,0,IF(INDEX(Ltbl[Context],fTbl211[[#This Row],[listlu]],1)="ALL",1,2))</f>
        <v>0</v>
      </c>
      <c r="U21" s="29"/>
    </row>
    <row r="22" spans="1:21">
      <c r="A22" s="15" t="s">
        <v>123</v>
      </c>
      <c r="B22" t="s">
        <v>142</v>
      </c>
      <c r="D22" s="1"/>
      <c r="E22" s="1">
        <v>0</v>
      </c>
      <c r="F22" s="1" t="s">
        <v>23</v>
      </c>
      <c r="G22" s="1"/>
      <c r="H22" s="1"/>
      <c r="I22" s="19" t="s">
        <v>143</v>
      </c>
      <c r="J22" s="28"/>
      <c r="K22" t="str">
        <f ca="1">IFERROR(IF(fTbl211[[#This Row],[LT]]="H",MID(fTbl211[[#This Row],[Hierarchy]],fTbl211[[#This Row],[pipe1]]+1,fTbl211[[#This Row],[pipe2]]-fTbl211[[#This Row],[pipe1]]-1),LEFT(fTbl211[[#This Row],[Hierarchy]],FIND("|",fTbl211[[#This Row],[Hierarchy]])-1)),"")</f>
        <v>rOrders</v>
      </c>
      <c r="L22" s="1">
        <f ca="1">IF(ROW()=3,0,OFFSET(fTbl211[[#This Row],[Lev]],-1,0)+IF(OFFSET(fTbl211[[#This Row],[LT]],-1,0)="H",1,IF(fTbl211[[#This Row],[LT]]="!H",-1,0)))</f>
        <v>1</v>
      </c>
      <c r="M22">
        <f>IF(fTbl211[[#This Row],[valid]]&lt;&gt;"list",0,IFERROR(MATCH(fTbl211[[#This Row],[Context]]&amp;"|"&amp;fTbl211[[#This Row],[Field]],Ltbl[ind],0),IFERROR(MATCH("ALL|"&amp;fTbl211[[#This Row],[Field]],Ltbl[ind],0),-1)))</f>
        <v>0</v>
      </c>
      <c r="N22" t="str" cm="1">
        <f t="array" ref="N22">IF(fTbl211[[#This Row],[listlu]]&lt;1,"",IF(INDEX(Ltbl[Generic],fTbl211[[#This Row],[listlu]])="","",INDEX(Ltbl[Generic],fTbl211[[#This Row],[listlu]])))</f>
        <v/>
      </c>
      <c r="O22">
        <f>IF(AND(fTbl211[[#This Row],[listlu]],ISERROR(FIND(",",fTbl211[[#This Row],[liMatch]])),fTbl211[[#This Row],[liMatch]]&lt;&gt;""),1,0)</f>
        <v>0</v>
      </c>
      <c r="P22">
        <f>IF(AND(fTbl211[[#This Row],[LT]]="Ref",ISNA(MATCH(fTbl211[[#This Row],[Field]],rTbl[Ref],0))),1,0)</f>
        <v>0</v>
      </c>
      <c r="Q22"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22">
        <f ca="1">FIND("~",SUBSTITUTE(fTbl211[[#This Row],[Hierarchy]],"|","~",1))</f>
        <v>8</v>
      </c>
      <c r="S22" t="e">
        <f ca="1">FIND("~",SUBSTITUTE(fTbl211[[#This Row],[Hierarchy]],"|","~",2))</f>
        <v>#VALUE!</v>
      </c>
      <c r="T22" cm="1">
        <f t="array" ref="T22">IF(fTbl211[[#This Row],[listlu]]=0,0,IF(INDEX(Ltbl[Context],fTbl211[[#This Row],[listlu]],1)="ALL",1,2))</f>
        <v>0</v>
      </c>
      <c r="U22" s="29"/>
    </row>
    <row r="23" spans="1:21">
      <c r="A23" s="15" t="s">
        <v>21</v>
      </c>
      <c r="B23" t="s">
        <v>356</v>
      </c>
      <c r="D23" s="1"/>
      <c r="E23" s="1">
        <v>1</v>
      </c>
      <c r="F23" s="1" t="s">
        <v>23</v>
      </c>
      <c r="G23" s="1"/>
      <c r="H23" s="1"/>
      <c r="I23" s="19" t="s">
        <v>145</v>
      </c>
      <c r="J23" s="28"/>
      <c r="K23" t="str">
        <f ca="1">IFERROR(IF(fTbl211[[#This Row],[LT]]="H",MID(fTbl211[[#This Row],[Hierarchy]],fTbl211[[#This Row],[pipe1]]+1,fTbl211[[#This Row],[pipe2]]-fTbl211[[#This Row],[pipe1]]-1),LEFT(fTbl211[[#This Row],[Hierarchy]],FIND("|",fTbl211[[#This Row],[Hierarchy]])-1)),"")</f>
        <v>rOrders</v>
      </c>
      <c r="L23" s="1">
        <f ca="1">IF(ROW()=3,0,OFFSET(fTbl211[[#This Row],[Lev]],-1,0)+IF(OFFSET(fTbl211[[#This Row],[LT]],-1,0)="H",1,IF(fTbl211[[#This Row],[LT]]="!H",-1,0)))</f>
        <v>1</v>
      </c>
      <c r="M23">
        <f>IF(fTbl211[[#This Row],[valid]]&lt;&gt;"list",0,IFERROR(MATCH(fTbl211[[#This Row],[Context]]&amp;"|"&amp;fTbl211[[#This Row],[Field]],Ltbl[ind],0),IFERROR(MATCH("ALL|"&amp;fTbl211[[#This Row],[Field]],Ltbl[ind],0),-1)))</f>
        <v>0</v>
      </c>
      <c r="N23" t="str" cm="1">
        <f t="array" ref="N23">IF(fTbl211[[#This Row],[listlu]]&lt;1,"",IF(INDEX(Ltbl[Generic],fTbl211[[#This Row],[listlu]])="","",INDEX(Ltbl[Generic],fTbl211[[#This Row],[listlu]])))</f>
        <v/>
      </c>
      <c r="O23">
        <f>IF(AND(fTbl211[[#This Row],[listlu]],ISERROR(FIND(",",fTbl211[[#This Row],[liMatch]])),fTbl211[[#This Row],[liMatch]]&lt;&gt;""),1,0)</f>
        <v>0</v>
      </c>
      <c r="P23">
        <f>IF(AND(fTbl211[[#This Row],[LT]]="Ref",ISNA(MATCH(fTbl211[[#This Row],[Field]],rTbl[Ref],0))),1,0)</f>
        <v>0</v>
      </c>
      <c r="Q23"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23">
        <f ca="1">FIND("~",SUBSTITUTE(fTbl211[[#This Row],[Hierarchy]],"|","~",1))</f>
        <v>12</v>
      </c>
      <c r="S23">
        <f ca="1">FIND("~",SUBSTITUTE(fTbl211[[#This Row],[Hierarchy]],"|","~",2))</f>
        <v>20</v>
      </c>
      <c r="T23" cm="1">
        <f t="array" ref="T23">IF(fTbl211[[#This Row],[listlu]]=0,0,IF(INDEX(Ltbl[Context],fTbl211[[#This Row],[listlu]],1)="ALL",1,2))</f>
        <v>0</v>
      </c>
      <c r="U23" s="29"/>
    </row>
    <row r="24" spans="1:21">
      <c r="A24" s="15" t="s">
        <v>28</v>
      </c>
      <c r="B24" t="s">
        <v>146</v>
      </c>
      <c r="C24" t="s">
        <v>84</v>
      </c>
      <c r="D24" s="1"/>
      <c r="E24" s="1">
        <v>1</v>
      </c>
      <c r="F24" s="1"/>
      <c r="G24" s="1"/>
      <c r="H24" s="1"/>
      <c r="I24" s="19" t="s">
        <v>147</v>
      </c>
      <c r="J24" s="28" t="s">
        <v>148</v>
      </c>
      <c r="K24" t="str">
        <f ca="1">IFERROR(IF(fTbl211[[#This Row],[LT]]="H",MID(fTbl211[[#This Row],[Hierarchy]],fTbl211[[#This Row],[pipe1]]+1,fTbl211[[#This Row],[pipe2]]-fTbl211[[#This Row],[pipe1]]-1),LEFT(fTbl211[[#This Row],[Hierarchy]],FIND("|",fTbl211[[#This Row],[Hierarchy]])-1)),"")</f>
        <v>rOrderLines</v>
      </c>
      <c r="L24" s="1">
        <f ca="1">IF(ROW()=3,0,OFFSET(fTbl211[[#This Row],[Lev]],-1,0)+IF(OFFSET(fTbl211[[#This Row],[LT]],-1,0)="H",1,IF(fTbl211[[#This Row],[LT]]="!H",-1,0)))</f>
        <v>2</v>
      </c>
      <c r="M24">
        <f>IF(fTbl211[[#This Row],[valid]]&lt;&gt;"list",0,IFERROR(MATCH(fTbl211[[#This Row],[Context]]&amp;"|"&amp;fTbl211[[#This Row],[Field]],Ltbl[ind],0),IFERROR(MATCH("ALL|"&amp;fTbl211[[#This Row],[Field]],Ltbl[ind],0),-1)))</f>
        <v>0</v>
      </c>
      <c r="N24" t="str" cm="1">
        <f t="array" ref="N24">IF(fTbl211[[#This Row],[listlu]]&lt;1,"",IF(INDEX(Ltbl[Generic],fTbl211[[#This Row],[listlu]])="","",INDEX(Ltbl[Generic],fTbl211[[#This Row],[listlu]])))</f>
        <v/>
      </c>
      <c r="O24">
        <f>IF(AND(fTbl211[[#This Row],[listlu]],ISERROR(FIND(",",fTbl211[[#This Row],[liMatch]])),fTbl211[[#This Row],[liMatch]]&lt;&gt;""),1,0)</f>
        <v>0</v>
      </c>
      <c r="P24">
        <f>IF(AND(fTbl211[[#This Row],[LT]]="Ref",ISNA(MATCH(fTbl211[[#This Row],[Field]],rTbl[Ref],0))),1,0)</f>
        <v>0</v>
      </c>
      <c r="Q24"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24">
        <f ca="1">FIND("~",SUBSTITUTE(fTbl211[[#This Row],[Hierarchy]],"|","~",1))</f>
        <v>12</v>
      </c>
      <c r="S24">
        <f ca="1">FIND("~",SUBSTITUTE(fTbl211[[#This Row],[Hierarchy]],"|","~",2))</f>
        <v>20</v>
      </c>
      <c r="T24" cm="1">
        <f t="array" ref="T24">IF(fTbl211[[#This Row],[listlu]]=0,0,IF(INDEX(Ltbl[Context],fTbl211[[#This Row],[listlu]],1)="ALL",1,2))</f>
        <v>0</v>
      </c>
      <c r="U24" s="29"/>
    </row>
    <row r="25" spans="1:21">
      <c r="A25" s="15" t="s">
        <v>28</v>
      </c>
      <c r="B25" t="s">
        <v>150</v>
      </c>
      <c r="C25" t="s">
        <v>84</v>
      </c>
      <c r="D25" s="1"/>
      <c r="E25" s="1">
        <v>0</v>
      </c>
      <c r="F25" s="1"/>
      <c r="G25" s="1"/>
      <c r="H25" s="1"/>
      <c r="I25" s="19" t="s">
        <v>151</v>
      </c>
      <c r="J25" s="28">
        <v>13</v>
      </c>
      <c r="K25" t="str">
        <f ca="1">IFERROR(IF(fTbl211[[#This Row],[LT]]="H",MID(fTbl211[[#This Row],[Hierarchy]],fTbl211[[#This Row],[pipe1]]+1,fTbl211[[#This Row],[pipe2]]-fTbl211[[#This Row],[pipe1]]-1),LEFT(fTbl211[[#This Row],[Hierarchy]],FIND("|",fTbl211[[#This Row],[Hierarchy]])-1)),"")</f>
        <v>rOrderLines</v>
      </c>
      <c r="L25" s="1">
        <f ca="1">IF(ROW()=3,0,OFFSET(fTbl211[[#This Row],[Lev]],-1,0)+IF(OFFSET(fTbl211[[#This Row],[LT]],-1,0)="H",1,IF(fTbl211[[#This Row],[LT]]="!H",-1,0)))</f>
        <v>2</v>
      </c>
      <c r="M25">
        <f>IF(fTbl211[[#This Row],[valid]]&lt;&gt;"list",0,IFERROR(MATCH(fTbl211[[#This Row],[Context]]&amp;"|"&amp;fTbl211[[#This Row],[Field]],Ltbl[ind],0),IFERROR(MATCH("ALL|"&amp;fTbl211[[#This Row],[Field]],Ltbl[ind],0),-1)))</f>
        <v>0</v>
      </c>
      <c r="N25" t="str" cm="1">
        <f t="array" ref="N25">IF(fTbl211[[#This Row],[listlu]]&lt;1,"",IF(INDEX(Ltbl[Generic],fTbl211[[#This Row],[listlu]])="","",INDEX(Ltbl[Generic],fTbl211[[#This Row],[listlu]])))</f>
        <v/>
      </c>
      <c r="O25">
        <f>IF(AND(fTbl211[[#This Row],[listlu]],ISERROR(FIND(",",fTbl211[[#This Row],[liMatch]])),fTbl211[[#This Row],[liMatch]]&lt;&gt;""),1,0)</f>
        <v>0</v>
      </c>
      <c r="P25">
        <f>IF(AND(fTbl211[[#This Row],[LT]]="Ref",ISNA(MATCH(fTbl211[[#This Row],[Field]],rTbl[Ref],0))),1,0)</f>
        <v>0</v>
      </c>
      <c r="Q25"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25">
        <f ca="1">FIND("~",SUBSTITUTE(fTbl211[[#This Row],[Hierarchy]],"|","~",1))</f>
        <v>12</v>
      </c>
      <c r="S25">
        <f ca="1">FIND("~",SUBSTITUTE(fTbl211[[#This Row],[Hierarchy]],"|","~",2))</f>
        <v>20</v>
      </c>
      <c r="T25" cm="1">
        <f t="array" ref="T25">IF(fTbl211[[#This Row],[listlu]]=0,0,IF(INDEX(Ltbl[Context],fTbl211[[#This Row],[listlu]],1)="ALL",1,2))</f>
        <v>0</v>
      </c>
      <c r="U25" s="29"/>
    </row>
    <row r="26" spans="1:21">
      <c r="A26" s="15" t="s">
        <v>28</v>
      </c>
      <c r="B26" t="s">
        <v>341</v>
      </c>
      <c r="C26" t="s">
        <v>94</v>
      </c>
      <c r="D26" s="1"/>
      <c r="E26" s="1">
        <v>0</v>
      </c>
      <c r="F26" s="1"/>
      <c r="G26" s="1"/>
      <c r="H26" s="1"/>
      <c r="I26" s="19" t="s">
        <v>315</v>
      </c>
      <c r="J26" s="27" t="s">
        <v>357</v>
      </c>
      <c r="K26" t="str">
        <f ca="1">IFERROR(IF(fTbl211[[#This Row],[LT]]="H",MID(fTbl211[[#This Row],[Hierarchy]],fTbl211[[#This Row],[pipe1]]+1,fTbl211[[#This Row],[pipe2]]-fTbl211[[#This Row],[pipe1]]-1),LEFT(fTbl211[[#This Row],[Hierarchy]],FIND("|",fTbl211[[#This Row],[Hierarchy]])-1)),"")</f>
        <v>rOrderLines</v>
      </c>
      <c r="L26" s="1">
        <f ca="1">IF(ROW()=3,0,OFFSET(fTbl211[[#This Row],[Lev]],-1,0)+IF(OFFSET(fTbl211[[#This Row],[LT]],-1,0)="H",1,IF(fTbl211[[#This Row],[LT]]="!H",-1,0)))</f>
        <v>2</v>
      </c>
      <c r="M26">
        <f>IF(fTbl211[[#This Row],[valid]]&lt;&gt;"list",0,IFERROR(MATCH(fTbl211[[#This Row],[Context]]&amp;"|"&amp;fTbl211[[#This Row],[Field]],Ltbl[ind],0),IFERROR(MATCH("ALL|"&amp;fTbl211[[#This Row],[Field]],Ltbl[ind],0),-1)))</f>
        <v>0</v>
      </c>
      <c r="N26" t="str" cm="1">
        <f t="array" ref="N26">IF(fTbl211[[#This Row],[listlu]]&lt;1,"",IF(INDEX(Ltbl[Generic],fTbl211[[#This Row],[listlu]])="","",INDEX(Ltbl[Generic],fTbl211[[#This Row],[listlu]])))</f>
        <v/>
      </c>
      <c r="O26">
        <f>IF(AND(fTbl211[[#This Row],[listlu]],ISERROR(FIND(",",fTbl211[[#This Row],[liMatch]])),fTbl211[[#This Row],[liMatch]]&lt;&gt;""),1,0)</f>
        <v>0</v>
      </c>
      <c r="P26">
        <f>IF(AND(fTbl211[[#This Row],[LT]]="Ref",ISNA(MATCH(fTbl211[[#This Row],[Field]],rTbl[Ref],0))),1,0)</f>
        <v>0</v>
      </c>
      <c r="Q26"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26">
        <f ca="1">FIND("~",SUBSTITUTE(fTbl211[[#This Row],[Hierarchy]],"|","~",1))</f>
        <v>12</v>
      </c>
      <c r="S26">
        <f ca="1">FIND("~",SUBSTITUTE(fTbl211[[#This Row],[Hierarchy]],"|","~",2))</f>
        <v>20</v>
      </c>
      <c r="T26" cm="1">
        <f t="array" ref="T26">IF(fTbl211[[#This Row],[listlu]]=0,0,IF(INDEX(Ltbl[Context],fTbl211[[#This Row],[listlu]],1)="ALL",1,2))</f>
        <v>0</v>
      </c>
      <c r="U26" s="29"/>
    </row>
    <row r="27" spans="1:21">
      <c r="A27" s="15" t="s">
        <v>28</v>
      </c>
      <c r="B27" t="s">
        <v>152</v>
      </c>
      <c r="C27" t="s">
        <v>30</v>
      </c>
      <c r="D27" s="1">
        <v>30</v>
      </c>
      <c r="E27" s="1">
        <v>1</v>
      </c>
      <c r="F27" s="1"/>
      <c r="G27" s="1"/>
      <c r="H27" s="1"/>
      <c r="I27" s="19" t="s">
        <v>153</v>
      </c>
      <c r="J27" s="28" t="s">
        <v>154</v>
      </c>
      <c r="K27" t="str">
        <f ca="1">IFERROR(IF(fTbl211[[#This Row],[LT]]="H",MID(fTbl211[[#This Row],[Hierarchy]],fTbl211[[#This Row],[pipe1]]+1,fTbl211[[#This Row],[pipe2]]-fTbl211[[#This Row],[pipe1]]-1),LEFT(fTbl211[[#This Row],[Hierarchy]],FIND("|",fTbl211[[#This Row],[Hierarchy]])-1)),"")</f>
        <v>rOrderLines</v>
      </c>
      <c r="L27" s="1">
        <f ca="1">IF(ROW()=3,0,OFFSET(fTbl211[[#This Row],[Lev]],-1,0)+IF(OFFSET(fTbl211[[#This Row],[LT]],-1,0)="H",1,IF(fTbl211[[#This Row],[LT]]="!H",-1,0)))</f>
        <v>2</v>
      </c>
      <c r="M27">
        <f>IF(fTbl211[[#This Row],[valid]]&lt;&gt;"list",0,IFERROR(MATCH(fTbl211[[#This Row],[Context]]&amp;"|"&amp;fTbl211[[#This Row],[Field]],Ltbl[ind],0),IFERROR(MATCH("ALL|"&amp;fTbl211[[#This Row],[Field]],Ltbl[ind],0),-1)))</f>
        <v>0</v>
      </c>
      <c r="N27" t="str" cm="1">
        <f t="array" ref="N27">IF(fTbl211[[#This Row],[listlu]]&lt;1,"",IF(INDEX(Ltbl[Generic],fTbl211[[#This Row],[listlu]])="","",INDEX(Ltbl[Generic],fTbl211[[#This Row],[listlu]])))</f>
        <v/>
      </c>
      <c r="O27">
        <f>IF(AND(fTbl211[[#This Row],[listlu]],ISERROR(FIND(",",fTbl211[[#This Row],[liMatch]])),fTbl211[[#This Row],[liMatch]]&lt;&gt;""),1,0)</f>
        <v>0</v>
      </c>
      <c r="P27">
        <f>IF(AND(fTbl211[[#This Row],[LT]]="Ref",ISNA(MATCH(fTbl211[[#This Row],[Field]],rTbl[Ref],0))),1,0)</f>
        <v>0</v>
      </c>
      <c r="Q27"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27">
        <f ca="1">FIND("~",SUBSTITUTE(fTbl211[[#This Row],[Hierarchy]],"|","~",1))</f>
        <v>12</v>
      </c>
      <c r="S27">
        <f ca="1">FIND("~",SUBSTITUTE(fTbl211[[#This Row],[Hierarchy]],"|","~",2))</f>
        <v>20</v>
      </c>
      <c r="T27" cm="1">
        <f t="array" ref="T27">IF(fTbl211[[#This Row],[listlu]]=0,0,IF(INDEX(Ltbl[Context],fTbl211[[#This Row],[listlu]],1)="ALL",1,2))</f>
        <v>0</v>
      </c>
      <c r="U27" s="29"/>
    </row>
    <row r="28" spans="1:21">
      <c r="A28" s="15" t="s">
        <v>28</v>
      </c>
      <c r="B28" t="s">
        <v>156</v>
      </c>
      <c r="C28" t="s">
        <v>30</v>
      </c>
      <c r="D28" s="1">
        <v>30</v>
      </c>
      <c r="E28" s="1">
        <v>0</v>
      </c>
      <c r="F28" s="1"/>
      <c r="G28" s="1"/>
      <c r="H28" s="1"/>
      <c r="I28" s="19" t="s">
        <v>157</v>
      </c>
      <c r="J28" s="28">
        <v>368772</v>
      </c>
      <c r="K28" t="str">
        <f ca="1">IFERROR(IF(fTbl211[[#This Row],[LT]]="H",MID(fTbl211[[#This Row],[Hierarchy]],fTbl211[[#This Row],[pipe1]]+1,fTbl211[[#This Row],[pipe2]]-fTbl211[[#This Row],[pipe1]]-1),LEFT(fTbl211[[#This Row],[Hierarchy]],FIND("|",fTbl211[[#This Row],[Hierarchy]])-1)),"")</f>
        <v>rOrderLines</v>
      </c>
      <c r="L28" s="1">
        <f ca="1">IF(ROW()=3,0,OFFSET(fTbl211[[#This Row],[Lev]],-1,0)+IF(OFFSET(fTbl211[[#This Row],[LT]],-1,0)="H",1,IF(fTbl211[[#This Row],[LT]]="!H",-1,0)))</f>
        <v>2</v>
      </c>
      <c r="M28">
        <f>IF(fTbl211[[#This Row],[valid]]&lt;&gt;"list",0,IFERROR(MATCH(fTbl211[[#This Row],[Context]]&amp;"|"&amp;fTbl211[[#This Row],[Field]],Ltbl[ind],0),IFERROR(MATCH("ALL|"&amp;fTbl211[[#This Row],[Field]],Ltbl[ind],0),-1)))</f>
        <v>0</v>
      </c>
      <c r="N28" t="str" cm="1">
        <f t="array" ref="N28">IF(fTbl211[[#This Row],[listlu]]&lt;1,"",IF(INDEX(Ltbl[Generic],fTbl211[[#This Row],[listlu]])="","",INDEX(Ltbl[Generic],fTbl211[[#This Row],[listlu]])))</f>
        <v/>
      </c>
      <c r="O28">
        <f>IF(AND(fTbl211[[#This Row],[listlu]],ISERROR(FIND(",",fTbl211[[#This Row],[liMatch]])),fTbl211[[#This Row],[liMatch]]&lt;&gt;""),1,0)</f>
        <v>0</v>
      </c>
      <c r="P28">
        <f>IF(AND(fTbl211[[#This Row],[LT]]="Ref",ISNA(MATCH(fTbl211[[#This Row],[Field]],rTbl[Ref],0))),1,0)</f>
        <v>0</v>
      </c>
      <c r="Q28"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28">
        <f ca="1">FIND("~",SUBSTITUTE(fTbl211[[#This Row],[Hierarchy]],"|","~",1))</f>
        <v>12</v>
      </c>
      <c r="S28">
        <f ca="1">FIND("~",SUBSTITUTE(fTbl211[[#This Row],[Hierarchy]],"|","~",2))</f>
        <v>20</v>
      </c>
      <c r="T28" cm="1">
        <f t="array" ref="T28">IF(fTbl211[[#This Row],[listlu]]=0,0,IF(INDEX(Ltbl[Context],fTbl211[[#This Row],[listlu]],1)="ALL",1,2))</f>
        <v>0</v>
      </c>
      <c r="U28" s="29"/>
    </row>
    <row r="29" spans="1:21">
      <c r="A29" s="15" t="s">
        <v>28</v>
      </c>
      <c r="B29" t="s">
        <v>163</v>
      </c>
      <c r="C29" t="s">
        <v>84</v>
      </c>
      <c r="D29" s="1"/>
      <c r="E29" s="1">
        <v>1</v>
      </c>
      <c r="F29" s="1"/>
      <c r="G29" s="1"/>
      <c r="H29" s="1" t="s">
        <v>215</v>
      </c>
      <c r="I29" s="19" t="s">
        <v>358</v>
      </c>
      <c r="J29" s="28" t="s">
        <v>359</v>
      </c>
      <c r="K29" t="str">
        <f ca="1">IFERROR(IF(fTbl211[[#This Row],[LT]]="H",MID(fTbl211[[#This Row],[Hierarchy]],fTbl211[[#This Row],[pipe1]]+1,fTbl211[[#This Row],[pipe2]]-fTbl211[[#This Row],[pipe1]]-1),LEFT(fTbl211[[#This Row],[Hierarchy]],FIND("|",fTbl211[[#This Row],[Hierarchy]])-1)),"")</f>
        <v>rOrderLines</v>
      </c>
      <c r="L29" s="1">
        <f ca="1">IF(ROW()=3,0,OFFSET(fTbl211[[#This Row],[Lev]],-1,0)+IF(OFFSET(fTbl211[[#This Row],[LT]],-1,0)="H",1,IF(fTbl211[[#This Row],[LT]]="!H",-1,0)))</f>
        <v>2</v>
      </c>
      <c r="M29">
        <f>IF(fTbl211[[#This Row],[valid]]&lt;&gt;"list",0,IFERROR(MATCH(fTbl211[[#This Row],[Context]]&amp;"|"&amp;fTbl211[[#This Row],[Field]],Ltbl[ind],0),IFERROR(MATCH("ALL|"&amp;fTbl211[[#This Row],[Field]],Ltbl[ind],0),-1)))</f>
        <v>0</v>
      </c>
      <c r="N29" t="str" cm="1">
        <f t="array" ref="N29">IF(fTbl211[[#This Row],[listlu]]&lt;1,"",IF(INDEX(Ltbl[Generic],fTbl211[[#This Row],[listlu]])="","",INDEX(Ltbl[Generic],fTbl211[[#This Row],[listlu]])))</f>
        <v/>
      </c>
      <c r="O29">
        <f>IF(AND(fTbl211[[#This Row],[listlu]],ISERROR(FIND(",",fTbl211[[#This Row],[liMatch]])),fTbl211[[#This Row],[liMatch]]&lt;&gt;""),1,0)</f>
        <v>0</v>
      </c>
      <c r="P29">
        <f>IF(AND(fTbl211[[#This Row],[LT]]="Ref",ISNA(MATCH(fTbl211[[#This Row],[Field]],rTbl[Ref],0))),1,0)</f>
        <v>0</v>
      </c>
      <c r="Q29"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29">
        <f ca="1">FIND("~",SUBSTITUTE(fTbl211[[#This Row],[Hierarchy]],"|","~",1))</f>
        <v>12</v>
      </c>
      <c r="S29">
        <f ca="1">FIND("~",SUBSTITUTE(fTbl211[[#This Row],[Hierarchy]],"|","~",2))</f>
        <v>20</v>
      </c>
      <c r="T29" cm="1">
        <f t="array" ref="T29">IF(fTbl211[[#This Row],[listlu]]=0,0,IF(INDEX(Ltbl[Context],fTbl211[[#This Row],[listlu]],1)="ALL",1,2))</f>
        <v>0</v>
      </c>
      <c r="U29" s="29"/>
    </row>
    <row r="30" spans="1:21">
      <c r="A30" s="15" t="s">
        <v>28</v>
      </c>
      <c r="B30" t="s">
        <v>159</v>
      </c>
      <c r="C30" t="s">
        <v>30</v>
      </c>
      <c r="D30" s="1">
        <v>5</v>
      </c>
      <c r="E30" s="1">
        <v>0</v>
      </c>
      <c r="F30" s="1"/>
      <c r="G30" s="1"/>
      <c r="H30" s="1" t="s">
        <v>56</v>
      </c>
      <c r="I30" s="19" t="s">
        <v>360</v>
      </c>
      <c r="J30" s="28" t="s">
        <v>161</v>
      </c>
      <c r="K30" t="str">
        <f ca="1">IFERROR(IF(fTbl211[[#This Row],[LT]]="H",MID(fTbl211[[#This Row],[Hierarchy]],fTbl211[[#This Row],[pipe1]]+1,fTbl211[[#This Row],[pipe2]]-fTbl211[[#This Row],[pipe1]]-1),LEFT(fTbl211[[#This Row],[Hierarchy]],FIND("|",fTbl211[[#This Row],[Hierarchy]])-1)),"")</f>
        <v>rOrderLines</v>
      </c>
      <c r="L30" s="1">
        <f ca="1">IF(ROW()=3,0,OFFSET(fTbl211[[#This Row],[Lev]],-1,0)+IF(OFFSET(fTbl211[[#This Row],[LT]],-1,0)="H",1,IF(fTbl211[[#This Row],[LT]]="!H",-1,0)))</f>
        <v>2</v>
      </c>
      <c r="M30">
        <f ca="1">IF(fTbl211[[#This Row],[valid]]&lt;&gt;"list",0,IFERROR(MATCH(fTbl211[[#This Row],[Context]]&amp;"|"&amp;fTbl211[[#This Row],[Field]],Ltbl[ind],0),IFERROR(MATCH("ALL|"&amp;fTbl211[[#This Row],[Field]],Ltbl[ind],0),-1)))</f>
        <v>11</v>
      </c>
      <c r="N30" t="str" cm="1">
        <f t="array" aca="1" ref="N30" ca="1">IF(fTbl211[[#This Row],[listlu]]&lt;1,"",IF(INDEX(Ltbl[Generic],fTbl211[[#This Row],[listlu]])="","",INDEX(Ltbl[Generic],fTbl211[[#This Row],[listlu]])))</f>
        <v>EACH,INNER,OUTER</v>
      </c>
      <c r="O30">
        <f ca="1">IF(AND(fTbl211[[#This Row],[listlu]],ISERROR(FIND(",",fTbl211[[#This Row],[liMatch]])),fTbl211[[#This Row],[liMatch]]&lt;&gt;""),1,0)</f>
        <v>0</v>
      </c>
      <c r="P30">
        <f>IF(AND(fTbl211[[#This Row],[LT]]="Ref",ISNA(MATCH(fTbl211[[#This Row],[Field]],rTbl[Ref],0))),1,0)</f>
        <v>0</v>
      </c>
      <c r="Q30"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30">
        <f ca="1">FIND("~",SUBSTITUTE(fTbl211[[#This Row],[Hierarchy]],"|","~",1))</f>
        <v>12</v>
      </c>
      <c r="S30">
        <f ca="1">FIND("~",SUBSTITUTE(fTbl211[[#This Row],[Hierarchy]],"|","~",2))</f>
        <v>20</v>
      </c>
      <c r="T30" cm="1">
        <f t="array" aca="1" ref="T30" ca="1">IF(fTbl211[[#This Row],[listlu]]=0,0,IF(INDEX(Ltbl[Context],fTbl211[[#This Row],[listlu]],1)="ALL",1,2))</f>
        <v>1</v>
      </c>
      <c r="U30" s="29"/>
    </row>
    <row r="31" spans="1:21">
      <c r="A31" s="15" t="s">
        <v>28</v>
      </c>
      <c r="B31" t="s">
        <v>323</v>
      </c>
      <c r="C31" t="s">
        <v>30</v>
      </c>
      <c r="D31" s="1">
        <v>15</v>
      </c>
      <c r="E31" s="1">
        <v>0</v>
      </c>
      <c r="F31" s="1"/>
      <c r="G31" s="1"/>
      <c r="H31" s="1"/>
      <c r="I31" s="19" t="s">
        <v>361</v>
      </c>
      <c r="J31" s="28" t="s">
        <v>362</v>
      </c>
      <c r="K31" t="str">
        <f ca="1">IFERROR(IF(fTbl211[[#This Row],[LT]]="H",MID(fTbl211[[#This Row],[Hierarchy]],fTbl211[[#This Row],[pipe1]]+1,fTbl211[[#This Row],[pipe2]]-fTbl211[[#This Row],[pipe1]]-1),LEFT(fTbl211[[#This Row],[Hierarchy]],FIND("|",fTbl211[[#This Row],[Hierarchy]])-1)),"")</f>
        <v>rOrderLines</v>
      </c>
      <c r="L31" s="1">
        <f ca="1">IF(ROW()=3,0,OFFSET(fTbl211[[#This Row],[Lev]],-1,0)+IF(OFFSET(fTbl211[[#This Row],[LT]],-1,0)="H",1,IF(fTbl211[[#This Row],[LT]]="!H",-1,0)))</f>
        <v>2</v>
      </c>
      <c r="M31">
        <f>IF(fTbl211[[#This Row],[valid]]&lt;&gt;"list",0,IFERROR(MATCH(fTbl211[[#This Row],[Context]]&amp;"|"&amp;fTbl211[[#This Row],[Field]],Ltbl[ind],0),IFERROR(MATCH("ALL|"&amp;fTbl211[[#This Row],[Field]],Ltbl[ind],0),-1)))</f>
        <v>0</v>
      </c>
      <c r="N31" t="str" cm="1">
        <f t="array" ref="N31">IF(fTbl211[[#This Row],[listlu]]&lt;1,"",IF(INDEX(Ltbl[Generic],fTbl211[[#This Row],[listlu]])="","",INDEX(Ltbl[Generic],fTbl211[[#This Row],[listlu]])))</f>
        <v/>
      </c>
      <c r="O31">
        <f>IF(AND(fTbl211[[#This Row],[listlu]],ISERROR(FIND(",",fTbl211[[#This Row],[liMatch]])),fTbl211[[#This Row],[liMatch]]&lt;&gt;""),1,0)</f>
        <v>0</v>
      </c>
      <c r="P31">
        <f>IF(AND(fTbl211[[#This Row],[LT]]="Ref",ISNA(MATCH(fTbl211[[#This Row],[Field]],rTbl[Ref],0))),1,0)</f>
        <v>0</v>
      </c>
      <c r="Q31"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31">
        <f ca="1">FIND("~",SUBSTITUTE(fTbl211[[#This Row],[Hierarchy]],"|","~",1))</f>
        <v>12</v>
      </c>
      <c r="S31">
        <f ca="1">FIND("~",SUBSTITUTE(fTbl211[[#This Row],[Hierarchy]],"|","~",2))</f>
        <v>20</v>
      </c>
      <c r="T31" cm="1">
        <f t="array" ref="T31">IF(fTbl211[[#This Row],[listlu]]=0,0,IF(INDEX(Ltbl[Context],fTbl211[[#This Row],[listlu]],1)="ALL",1,2))</f>
        <v>0</v>
      </c>
      <c r="U31" s="29"/>
    </row>
    <row r="32" spans="1:21">
      <c r="A32" s="15" t="s">
        <v>28</v>
      </c>
      <c r="B32" t="s">
        <v>326</v>
      </c>
      <c r="C32" t="s">
        <v>94</v>
      </c>
      <c r="D32" s="1"/>
      <c r="E32" s="1">
        <v>0</v>
      </c>
      <c r="F32" s="1"/>
      <c r="G32" s="1"/>
      <c r="H32" s="1"/>
      <c r="I32" s="19" t="s">
        <v>363</v>
      </c>
      <c r="J32" s="27" t="s">
        <v>357</v>
      </c>
      <c r="K32" t="str">
        <f ca="1">IFERROR(IF(fTbl211[[#This Row],[LT]]="H",MID(fTbl211[[#This Row],[Hierarchy]],fTbl211[[#This Row],[pipe1]]+1,fTbl211[[#This Row],[pipe2]]-fTbl211[[#This Row],[pipe1]]-1),LEFT(fTbl211[[#This Row],[Hierarchy]],FIND("|",fTbl211[[#This Row],[Hierarchy]])-1)),"")</f>
        <v>rOrderLines</v>
      </c>
      <c r="L32" s="1">
        <f ca="1">IF(ROW()=3,0,OFFSET(fTbl211[[#This Row],[Lev]],-1,0)+IF(OFFSET(fTbl211[[#This Row],[LT]],-1,0)="H",1,IF(fTbl211[[#This Row],[LT]]="!H",-1,0)))</f>
        <v>2</v>
      </c>
      <c r="M32">
        <f>IF(fTbl211[[#This Row],[valid]]&lt;&gt;"list",0,IFERROR(MATCH(fTbl211[[#This Row],[Context]]&amp;"|"&amp;fTbl211[[#This Row],[Field]],Ltbl[ind],0),IFERROR(MATCH("ALL|"&amp;fTbl211[[#This Row],[Field]],Ltbl[ind],0),-1)))</f>
        <v>0</v>
      </c>
      <c r="N32" t="str" cm="1">
        <f t="array" ref="N32">IF(fTbl211[[#This Row],[listlu]]&lt;1,"",IF(INDEX(Ltbl[Generic],fTbl211[[#This Row],[listlu]])="","",INDEX(Ltbl[Generic],fTbl211[[#This Row],[listlu]])))</f>
        <v/>
      </c>
      <c r="O32">
        <f>IF(AND(fTbl211[[#This Row],[listlu]],ISERROR(FIND(",",fTbl211[[#This Row],[liMatch]])),fTbl211[[#This Row],[liMatch]]&lt;&gt;""),1,0)</f>
        <v>0</v>
      </c>
      <c r="P32">
        <f>IF(AND(fTbl211[[#This Row],[LT]]="Ref",ISNA(MATCH(fTbl211[[#This Row],[Field]],rTbl[Ref],0))),1,0)</f>
        <v>0</v>
      </c>
      <c r="Q32"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32">
        <f ca="1">FIND("~",SUBSTITUTE(fTbl211[[#This Row],[Hierarchy]],"|","~",1))</f>
        <v>12</v>
      </c>
      <c r="S32">
        <f ca="1">FIND("~",SUBSTITUTE(fTbl211[[#This Row],[Hierarchy]],"|","~",2))</f>
        <v>20</v>
      </c>
      <c r="T32" cm="1">
        <f t="array" ref="T32">IF(fTbl211[[#This Row],[listlu]]=0,0,IF(INDEX(Ltbl[Context],fTbl211[[#This Row],[listlu]],1)="ALL",1,2))</f>
        <v>0</v>
      </c>
      <c r="U32" s="29"/>
    </row>
    <row r="33" spans="1:21">
      <c r="A33" s="15" t="s">
        <v>28</v>
      </c>
      <c r="B33" t="s">
        <v>331</v>
      </c>
      <c r="C33" t="s">
        <v>30</v>
      </c>
      <c r="D33" s="1">
        <v>5</v>
      </c>
      <c r="E33" s="1">
        <v>0</v>
      </c>
      <c r="F33" s="1"/>
      <c r="G33" s="1"/>
      <c r="H33" s="1" t="s">
        <v>56</v>
      </c>
      <c r="I33" s="19" t="s">
        <v>364</v>
      </c>
      <c r="J33" s="28" t="s">
        <v>343</v>
      </c>
      <c r="K33" t="str">
        <f ca="1">IFERROR(IF(fTbl211[[#This Row],[LT]]="H",MID(fTbl211[[#This Row],[Hierarchy]],fTbl211[[#This Row],[pipe1]]+1,fTbl211[[#This Row],[pipe2]]-fTbl211[[#This Row],[pipe1]]-1),LEFT(fTbl211[[#This Row],[Hierarchy]],FIND("|",fTbl211[[#This Row],[Hierarchy]])-1)),"")</f>
        <v>rOrderLines</v>
      </c>
      <c r="L33" s="1">
        <f ca="1">IF(ROW()=3,0,OFFSET(fTbl211[[#This Row],[Lev]],-1,0)+IF(OFFSET(fTbl211[[#This Row],[LT]],-1,0)="H",1,IF(fTbl211[[#This Row],[LT]]="!H",-1,0)))</f>
        <v>2</v>
      </c>
      <c r="M33">
        <f ca="1">IF(fTbl211[[#This Row],[valid]]&lt;&gt;"list",0,IFERROR(MATCH(fTbl211[[#This Row],[Context]]&amp;"|"&amp;fTbl211[[#This Row],[Field]],Ltbl[ind],0),IFERROR(MATCH("ALL|"&amp;fTbl211[[#This Row],[Field]],Ltbl[ind],0),-1)))</f>
        <v>28</v>
      </c>
      <c r="N33" t="str" cm="1">
        <f t="array" aca="1" ref="N33" ca="1">IF(fTbl211[[#This Row],[listlu]]&lt;1,"",IF(INDEX(Ltbl[Generic],fTbl211[[#This Row],[listlu]])="","",INDEX(Ltbl[Generic],fTbl211[[#This Row],[listlu]])))</f>
        <v>GOOD,QA</v>
      </c>
      <c r="O33">
        <f ca="1">IF(AND(fTbl211[[#This Row],[listlu]],ISERROR(FIND(",",fTbl211[[#This Row],[liMatch]])),fTbl211[[#This Row],[liMatch]]&lt;&gt;""),1,0)</f>
        <v>0</v>
      </c>
      <c r="P33">
        <f>IF(AND(fTbl211[[#This Row],[LT]]="Ref",ISNA(MATCH(fTbl211[[#This Row],[Field]],rTbl[Ref],0))),1,0)</f>
        <v>0</v>
      </c>
      <c r="Q33"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33">
        <f ca="1">FIND("~",SUBSTITUTE(fTbl211[[#This Row],[Hierarchy]],"|","~",1))</f>
        <v>12</v>
      </c>
      <c r="S33">
        <f ca="1">FIND("~",SUBSTITUTE(fTbl211[[#This Row],[Hierarchy]],"|","~",2))</f>
        <v>20</v>
      </c>
      <c r="T33" cm="1">
        <f t="array" aca="1" ref="T33" ca="1">IF(fTbl211[[#This Row],[listlu]]=0,0,IF(INDEX(Ltbl[Context],fTbl211[[#This Row],[listlu]],1)="ALL",1,2))</f>
        <v>2</v>
      </c>
      <c r="U33" s="29"/>
    </row>
    <row r="34" spans="1:21">
      <c r="A34" s="15" t="s">
        <v>28</v>
      </c>
      <c r="B34" s="40" t="s">
        <v>334</v>
      </c>
      <c r="C34" t="s">
        <v>30</v>
      </c>
      <c r="D34" s="50">
        <v>15</v>
      </c>
      <c r="E34" s="50">
        <v>1</v>
      </c>
      <c r="F34" s="50"/>
      <c r="G34" s="50"/>
      <c r="H34" s="50" t="s">
        <v>31</v>
      </c>
      <c r="I34" s="19"/>
      <c r="J34" s="28"/>
      <c r="K34" t="str">
        <f ca="1">IFERROR(IF(fTbl211[[#This Row],[LT]]="H",MID(fTbl211[[#This Row],[Hierarchy]],fTbl211[[#This Row],[pipe1]]+1,fTbl211[[#This Row],[pipe2]]-fTbl211[[#This Row],[pipe1]]-1),LEFT(fTbl211[[#This Row],[Hierarchy]],FIND("|",fTbl211[[#This Row],[Hierarchy]])-1)),"")</f>
        <v>rOrderLines</v>
      </c>
      <c r="L34" s="1">
        <f ca="1">IF(ROW()=3,0,OFFSET(fTbl211[[#This Row],[Lev]],-1,0)+IF(OFFSET(fTbl211[[#This Row],[LT]],-1,0)="H",1,IF(fTbl211[[#This Row],[LT]]="!H",-1,0)))</f>
        <v>2</v>
      </c>
      <c r="M34">
        <f>IF(fTbl211[[#This Row],[valid]]&lt;&gt;"list",0,IFERROR(MATCH(fTbl211[[#This Row],[Context]]&amp;"|"&amp;fTbl211[[#This Row],[Field]],Ltbl[ind],0),IFERROR(MATCH("ALL|"&amp;fTbl211[[#This Row],[Field]],Ltbl[ind],0),-1)))</f>
        <v>0</v>
      </c>
      <c r="N34" t="str" cm="1">
        <f t="array" ref="N34">IF(fTbl211[[#This Row],[listlu]]&lt;1,"",IF(INDEX(Ltbl[Generic],fTbl211[[#This Row],[listlu]])="","",INDEX(Ltbl[Generic],fTbl211[[#This Row],[listlu]])))</f>
        <v/>
      </c>
      <c r="O34">
        <f>IF(AND(fTbl211[[#This Row],[listlu]],ISERROR(FIND(",",fTbl211[[#This Row],[liMatch]])),fTbl211[[#This Row],[liMatch]]&lt;&gt;""),1,0)</f>
        <v>0</v>
      </c>
      <c r="P34">
        <f>IF(AND(fTbl211[[#This Row],[LT]]="Ref",ISNA(MATCH(fTbl211[[#This Row],[Field]],rTbl[Ref],0))),1,0)</f>
        <v>0</v>
      </c>
      <c r="Q34"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34">
        <f ca="1">FIND("~",SUBSTITUTE(fTbl211[[#This Row],[Hierarchy]],"|","~",1))</f>
        <v>12</v>
      </c>
      <c r="S34">
        <f ca="1">FIND("~",SUBSTITUTE(fTbl211[[#This Row],[Hierarchy]],"|","~",2))</f>
        <v>20</v>
      </c>
      <c r="T34" cm="1">
        <f t="array" ref="T34">IF(fTbl211[[#This Row],[listlu]]=0,0,IF(INDEX(Ltbl[Context],fTbl211[[#This Row],[listlu]],1)="ALL",1,2))</f>
        <v>0</v>
      </c>
      <c r="U34" s="29"/>
    </row>
    <row r="35" spans="1:21">
      <c r="A35" s="15" t="s">
        <v>123</v>
      </c>
      <c r="B35" t="s">
        <v>142</v>
      </c>
      <c r="D35" s="1"/>
      <c r="E35" s="1">
        <v>0</v>
      </c>
      <c r="F35" s="1" t="s">
        <v>23</v>
      </c>
      <c r="G35" s="1"/>
      <c r="H35" s="1"/>
      <c r="I35" s="19" t="s">
        <v>176</v>
      </c>
      <c r="J35" s="28"/>
      <c r="K35" t="str">
        <f ca="1">IFERROR(IF(fTbl211[[#This Row],[LT]]="H",MID(fTbl211[[#This Row],[Hierarchy]],fTbl211[[#This Row],[pipe1]]+1,fTbl211[[#This Row],[pipe2]]-fTbl211[[#This Row],[pipe1]]-1),LEFT(fTbl211[[#This Row],[Hierarchy]],FIND("|",fTbl211[[#This Row],[Hierarchy]])-1)),"")</f>
        <v>rOrderLines</v>
      </c>
      <c r="L35" s="1">
        <f ca="1">IF(ROW()=3,0,OFFSET(fTbl211[[#This Row],[Lev]],-1,0)+IF(OFFSET(fTbl211[[#This Row],[LT]],-1,0)="H",1,IF(fTbl211[[#This Row],[LT]]="!H",-1,0)))</f>
        <v>2</v>
      </c>
      <c r="M35">
        <f>IF(fTbl211[[#This Row],[valid]]&lt;&gt;"list",0,IFERROR(MATCH(fTbl211[[#This Row],[Context]]&amp;"|"&amp;fTbl211[[#This Row],[Field]],Ltbl[ind],0),IFERROR(MATCH("ALL|"&amp;fTbl211[[#This Row],[Field]],Ltbl[ind],0),-1)))</f>
        <v>0</v>
      </c>
      <c r="N35" t="str" cm="1">
        <f t="array" ref="N35">IF(fTbl211[[#This Row],[listlu]]&lt;1,"",IF(INDEX(Ltbl[Generic],fTbl211[[#This Row],[listlu]])="","",INDEX(Ltbl[Generic],fTbl211[[#This Row],[listlu]])))</f>
        <v/>
      </c>
      <c r="O35">
        <f>IF(AND(fTbl211[[#This Row],[listlu]],ISERROR(FIND(",",fTbl211[[#This Row],[liMatch]])),fTbl211[[#This Row],[liMatch]]&lt;&gt;""),1,0)</f>
        <v>0</v>
      </c>
      <c r="P35">
        <f>IF(AND(fTbl211[[#This Row],[LT]]="Ref",ISNA(MATCH(fTbl211[[#This Row],[Field]],rTbl[Ref],0))),1,0)</f>
        <v>0</v>
      </c>
      <c r="Q35"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rOrderLines|rOrders|</v>
      </c>
      <c r="R35">
        <f ca="1">FIND("~",SUBSTITUTE(fTbl211[[#This Row],[Hierarchy]],"|","~",1))</f>
        <v>12</v>
      </c>
      <c r="S35">
        <f ca="1">FIND("~",SUBSTITUTE(fTbl211[[#This Row],[Hierarchy]],"|","~",2))</f>
        <v>20</v>
      </c>
      <c r="T35" cm="1">
        <f t="array" ref="T35">IF(fTbl211[[#This Row],[listlu]]=0,0,IF(INDEX(Ltbl[Context],fTbl211[[#This Row],[listlu]],1)="ALL",1,2))</f>
        <v>0</v>
      </c>
      <c r="U35" s="29"/>
    </row>
    <row r="36" spans="1:21">
      <c r="A36" s="15" t="s">
        <v>177</v>
      </c>
      <c r="B36" t="s">
        <v>356</v>
      </c>
      <c r="D36" s="1"/>
      <c r="E36" s="1"/>
      <c r="F36" s="1"/>
      <c r="G36" s="1"/>
      <c r="H36" s="1"/>
      <c r="I36" s="19"/>
      <c r="J36" s="28"/>
      <c r="K36" t="str">
        <f ca="1">IFERROR(IF(fTbl211[[#This Row],[LT]]="H",MID(fTbl211[[#This Row],[Hierarchy]],fTbl211[[#This Row],[pipe1]]+1,fTbl211[[#This Row],[pipe2]]-fTbl211[[#This Row],[pipe1]]-1),LEFT(fTbl211[[#This Row],[Hierarchy]],FIND("|",fTbl211[[#This Row],[Hierarchy]])-1)),"")</f>
        <v>rOrders</v>
      </c>
      <c r="L36" s="1">
        <f ca="1">IF(ROW()=3,0,OFFSET(fTbl211[[#This Row],[Lev]],-1,0)+IF(OFFSET(fTbl211[[#This Row],[LT]],-1,0)="H",1,IF(fTbl211[[#This Row],[LT]]="!H",-1,0)))</f>
        <v>1</v>
      </c>
      <c r="M36">
        <f>IF(fTbl211[[#This Row],[valid]]&lt;&gt;"list",0,IFERROR(MATCH(fTbl211[[#This Row],[Context]]&amp;"|"&amp;fTbl211[[#This Row],[Field]],Ltbl[ind],0),IFERROR(MATCH("ALL|"&amp;fTbl211[[#This Row],[Field]],Ltbl[ind],0),-1)))</f>
        <v>0</v>
      </c>
      <c r="N36" t="str" cm="1">
        <f t="array" ref="N36">IF(fTbl211[[#This Row],[listlu]]&lt;1,"",IF(INDEX(Ltbl[Generic],fTbl211[[#This Row],[listlu]])="","",INDEX(Ltbl[Generic],fTbl211[[#This Row],[listlu]])))</f>
        <v/>
      </c>
      <c r="O36">
        <f>IF(AND(fTbl211[[#This Row],[listlu]],ISERROR(FIND(",",fTbl211[[#This Row],[liMatch]])),fTbl211[[#This Row],[liMatch]]&lt;&gt;""),1,0)</f>
        <v>0</v>
      </c>
      <c r="P36">
        <f>IF(AND(fTbl211[[#This Row],[LT]]="Ref",ISNA(MATCH(fTbl211[[#This Row],[Field]],rTbl[Ref],0))),1,0)</f>
        <v>0</v>
      </c>
      <c r="Q36"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rOrders|</v>
      </c>
      <c r="R36">
        <f ca="1">FIND("~",SUBSTITUTE(fTbl211[[#This Row],[Hierarchy]],"|","~",1))</f>
        <v>8</v>
      </c>
      <c r="S36" t="e">
        <f ca="1">FIND("~",SUBSTITUTE(fTbl211[[#This Row],[Hierarchy]],"|","~",2))</f>
        <v>#VALUE!</v>
      </c>
      <c r="T36" cm="1">
        <f t="array" ref="T36">IF(fTbl211[[#This Row],[listlu]]=0,0,IF(INDEX(Ltbl[Context],fTbl211[[#This Row],[listlu]],1)="ALL",1,2))</f>
        <v>0</v>
      </c>
      <c r="U36" s="29"/>
    </row>
    <row r="37" spans="1:21">
      <c r="A37" s="15" t="s">
        <v>177</v>
      </c>
      <c r="B37" t="s">
        <v>344</v>
      </c>
      <c r="D37" s="1"/>
      <c r="E37" s="1"/>
      <c r="F37" s="1"/>
      <c r="G37" s="1"/>
      <c r="H37" s="1"/>
      <c r="I37" s="19"/>
      <c r="J37" s="28"/>
      <c r="K37" t="str">
        <f ca="1">IFERROR(IF(fTbl211[[#This Row],[LT]]="H",MID(fTbl211[[#This Row],[Hierarchy]],fTbl211[[#This Row],[pipe1]]+1,fTbl211[[#This Row],[pipe2]]-fTbl211[[#This Row],[pipe1]]-1),LEFT(fTbl211[[#This Row],[Hierarchy]],FIND("|",fTbl211[[#This Row],[Hierarchy]])-1)),"")</f>
        <v/>
      </c>
      <c r="L37" s="1">
        <f ca="1">IF(ROW()=3,0,OFFSET(fTbl211[[#This Row],[Lev]],-1,0)+IF(OFFSET(fTbl211[[#This Row],[LT]],-1,0)="H",1,IF(fTbl211[[#This Row],[LT]]="!H",-1,0)))</f>
        <v>0</v>
      </c>
      <c r="M37">
        <f>IF(fTbl211[[#This Row],[valid]]&lt;&gt;"list",0,IFERROR(MATCH(fTbl211[[#This Row],[Context]]&amp;"|"&amp;fTbl211[[#This Row],[Field]],Ltbl[ind],0),IFERROR(MATCH("ALL|"&amp;fTbl211[[#This Row],[Field]],Ltbl[ind],0),-1)))</f>
        <v>0</v>
      </c>
      <c r="N37" t="str" cm="1">
        <f t="array" ref="N37">IF(fTbl211[[#This Row],[listlu]]&lt;1,"",IF(INDEX(Ltbl[Generic],fTbl211[[#This Row],[listlu]])="","",INDEX(Ltbl[Generic],fTbl211[[#This Row],[listlu]])))</f>
        <v/>
      </c>
      <c r="O37">
        <f>IF(AND(fTbl211[[#This Row],[listlu]],ISERROR(FIND(",",fTbl211[[#This Row],[liMatch]])),fTbl211[[#This Row],[liMatch]]&lt;&gt;""),1,0)</f>
        <v>0</v>
      </c>
      <c r="P37">
        <f>IF(AND(fTbl211[[#This Row],[LT]]="Ref",ISNA(MATCH(fTbl211[[#This Row],[Field]],rTbl[Ref],0))),1,0)</f>
        <v>0</v>
      </c>
      <c r="Q37" t="str">
        <f ca="1">IF(ROW()=3,IF(fTbl211[[#This Row],[LT]]="H",fTbl211[[#This Row],[Field]]&amp;"|","|"),IF(fTbl211[[#This Row],[LT]]="H",fTbl211[[#This Row],[Field]]&amp;"|"&amp;OFFSET(fTbl211[[#This Row],[Hierarchy]],-1,0),IF(fTbl211[[#This Row],[LT]]&lt;&gt;"!H",OFFSET(fTbl211[[#This Row],[Hierarchy]],-1,0),RIGHT(OFFSET(fTbl211[[#This Row],[Hierarchy]],-1,0),LEN(OFFSET(fTbl211[[#This Row],[Hierarchy]],-1,0))-LEN(fTbl211[[#This Row],[Field]])-1))))</f>
        <v/>
      </c>
      <c r="R37" t="e">
        <f ca="1">FIND("~",SUBSTITUTE(fTbl211[[#This Row],[Hierarchy]],"|","~",1))</f>
        <v>#VALUE!</v>
      </c>
      <c r="S37" t="e">
        <f ca="1">FIND("~",SUBSTITUTE(fTbl211[[#This Row],[Hierarchy]],"|","~",2))</f>
        <v>#VALUE!</v>
      </c>
      <c r="T37" cm="1">
        <f t="array" ref="T37">IF(fTbl211[[#This Row],[listlu]]=0,0,IF(INDEX(Ltbl[Context],fTbl211[[#This Row],[listlu]],1)="ALL",1,2))</f>
        <v>0</v>
      </c>
      <c r="U37" s="29"/>
    </row>
  </sheetData>
  <conditionalFormatting sqref="A3:L37">
    <cfRule type="expression" dxfId="236" priority="11">
      <formula>($A3="!H")</formula>
    </cfRule>
    <cfRule type="expression" dxfId="235" priority="12">
      <formula>($A3="REF")</formula>
    </cfRule>
    <cfRule type="expression" dxfId="234" priority="13">
      <formula>($A3="C")</formula>
    </cfRule>
    <cfRule type="expression" dxfId="233" priority="14">
      <formula>($A3="H")</formula>
    </cfRule>
  </conditionalFormatting>
  <conditionalFormatting sqref="I1">
    <cfRule type="cellIs" dxfId="232" priority="6" operator="greaterThan">
      <formula>"@"</formula>
    </cfRule>
  </conditionalFormatting>
  <conditionalFormatting sqref="K3:K37">
    <cfRule type="expression" dxfId="231" priority="9">
      <formula>($A3="C")</formula>
    </cfRule>
    <cfRule type="expression" dxfId="230" priority="10">
      <formula>($A3="")</formula>
    </cfRule>
  </conditionalFormatting>
  <conditionalFormatting sqref="A3:A37">
    <cfRule type="expression" dxfId="229" priority="8">
      <formula>NOT(OR(A3="",A3="H",A3="E",A3="C",A3="!H",A3="Ref"))</formula>
    </cfRule>
  </conditionalFormatting>
  <conditionalFormatting sqref="J3:J37 H3:H37">
    <cfRule type="expression" dxfId="228" priority="7">
      <formula>($O3)</formula>
    </cfRule>
  </conditionalFormatting>
  <conditionalFormatting sqref="H3:H37">
    <cfRule type="expression" dxfId="227" priority="15">
      <formula>AND($M3&gt;0,$N3&lt;&gt;$J3)</formula>
    </cfRule>
    <cfRule type="expression" dxfId="226" priority="16">
      <formula>AND($M3&gt;0,$N3=$J3)</formula>
    </cfRule>
    <cfRule type="expression" dxfId="225" priority="17">
      <formula>($M3=-1)</formula>
    </cfRule>
  </conditionalFormatting>
  <conditionalFormatting sqref="J3:J37">
    <cfRule type="expression" dxfId="224" priority="2">
      <formula>AND(M3&gt;0,N3&lt;&gt;J3)</formula>
    </cfRule>
    <cfRule type="expression" dxfId="223" priority="18">
      <formula>AND($A3="E",$E3&lt;&gt;1)</formula>
    </cfRule>
  </conditionalFormatting>
  <conditionalFormatting sqref="B3:B37">
    <cfRule type="expression" dxfId="222" priority="1">
      <formula>$P3</formula>
    </cfRule>
    <cfRule type="expression" dxfId="221" priority="5">
      <formula>AND($A3="!H",$B3&lt;&gt;OFFSET($K3,-1,0))</formula>
    </cfRule>
    <cfRule type="expression" dxfId="220" priority="19">
      <formula>AND($A3="E",$E3=1)</formula>
    </cfRule>
  </conditionalFormatting>
  <conditionalFormatting sqref="G3:G37">
    <cfRule type="expression" dxfId="219" priority="3">
      <formula>($T3=2)</formula>
    </cfRule>
    <cfRule type="expression" dxfId="218" priority="4">
      <formula>($T3=1)</formula>
    </cfRule>
  </conditionalFormatting>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1E75F-902D-48D5-B2D5-9307B5A55A6A}">
  <sheetPr codeName="Sheet4">
    <tabColor rgb="FF92D050"/>
  </sheetPr>
  <dimension ref="A1:U33"/>
  <sheetViews>
    <sheetView zoomScale="110" zoomScaleNormal="110" workbookViewId="0"/>
  </sheetViews>
  <sheetFormatPr defaultRowHeight="15"/>
  <cols>
    <col min="1" max="1" width="5" customWidth="1"/>
    <col min="2" max="2" width="23" customWidth="1"/>
    <col min="4" max="4" width="6.42578125" customWidth="1"/>
    <col min="5" max="6" width="4.7109375" customWidth="1"/>
    <col min="7" max="7" width="1" customWidth="1"/>
    <col min="8" max="8" width="10.140625" customWidth="1"/>
    <col min="9" max="9" width="56.7109375" customWidth="1"/>
    <col min="10" max="10" width="58.28515625" customWidth="1"/>
    <col min="11" max="11" width="13.42578125" customWidth="1"/>
    <col min="12" max="12" width="4.7109375" customWidth="1"/>
    <col min="13" max="16" width="9.140625" hidden="1" customWidth="1"/>
    <col min="17" max="17" width="27.7109375" hidden="1" customWidth="1"/>
    <col min="18" max="20" width="9.140625" hidden="1" customWidth="1"/>
    <col min="21" max="21" width="25.7109375" customWidth="1"/>
  </cols>
  <sheetData>
    <row r="1" spans="1:21" ht="30.75" customHeight="1">
      <c r="I1" s="16" t="str">
        <f>IF(COUNTIFS(fTbl5[LT],"H")&lt;&gt;COUNTIFS(fTbl5[LT],"!H"),"Header imbalance # H &lt;&gt; # !H","")</f>
        <v/>
      </c>
    </row>
    <row r="2" spans="1:21">
      <c r="A2" s="14" t="s">
        <v>0</v>
      </c>
      <c r="B2" s="11" t="s">
        <v>1</v>
      </c>
      <c r="C2" s="11" t="s">
        <v>2</v>
      </c>
      <c r="D2" s="12" t="s">
        <v>3</v>
      </c>
      <c r="E2" s="12" t="s">
        <v>4</v>
      </c>
      <c r="F2" s="12" t="s">
        <v>5</v>
      </c>
      <c r="G2" s="12" t="s">
        <v>6</v>
      </c>
      <c r="H2" s="12" t="s">
        <v>7</v>
      </c>
      <c r="I2" s="18" t="s">
        <v>8</v>
      </c>
      <c r="J2" s="17" t="s">
        <v>9</v>
      </c>
      <c r="K2" s="11" t="s">
        <v>10</v>
      </c>
      <c r="L2" s="12" t="s">
        <v>11</v>
      </c>
      <c r="M2" s="13" t="s">
        <v>12</v>
      </c>
      <c r="N2" s="13" t="s">
        <v>13</v>
      </c>
      <c r="O2" s="13" t="s">
        <v>14</v>
      </c>
      <c r="P2" s="13" t="s">
        <v>15</v>
      </c>
      <c r="Q2" s="13" t="s">
        <v>16</v>
      </c>
      <c r="R2" s="13" t="s">
        <v>17</v>
      </c>
      <c r="S2" s="13" t="s">
        <v>18</v>
      </c>
      <c r="T2" s="13" t="s">
        <v>19</v>
      </c>
      <c r="U2" s="13" t="s">
        <v>20</v>
      </c>
    </row>
    <row r="3" spans="1:21">
      <c r="A3" s="15" t="s">
        <v>21</v>
      </c>
      <c r="B3" t="s">
        <v>365</v>
      </c>
      <c r="D3" s="1"/>
      <c r="E3" s="1">
        <v>1</v>
      </c>
      <c r="F3" s="1">
        <v>1</v>
      </c>
      <c r="G3" s="1"/>
      <c r="H3" s="1"/>
      <c r="I3" s="19"/>
      <c r="J3" s="28"/>
      <c r="K3" t="str">
        <f ca="1">IFERROR(IF(fTbl5[[#This Row],[LT]]="H",MID(fTbl5[[#This Row],[Hierarchy]],fTbl5[[#This Row],[pipe1]]+1,fTbl5[[#This Row],[pipe2]]-fTbl5[[#This Row],[pipe1]]-1),LEFT(fTbl5[[#This Row],[Hierarchy]],FIND("|",fTbl5[[#This Row],[Hierarchy]])-1)),"")</f>
        <v/>
      </c>
      <c r="L3" s="1">
        <f ca="1">IF(ROW()=3,0,OFFSET(fTbl5[[#This Row],[Lev]],-1,0)+IF(OFFSET(fTbl5[[#This Row],[LT]],-1,0)="H",1,IF(fTbl5[[#This Row],[LT]]="!H",-1,0)))</f>
        <v>0</v>
      </c>
      <c r="M3">
        <f>IF(RIGHT(fTbl5[[#This Row],[valid]],4)&lt;&gt;"list",0,IFERROR(MATCH(fTbl5[[#This Row],[Context]]&amp;"|"&amp;fTbl5[[#This Row],[Field]],Ltbl[ind],0),IFERROR(MATCH("ALL|"&amp;fTbl5[[#This Row],[Field]],Ltbl[ind],0),-1)))</f>
        <v>0</v>
      </c>
      <c r="N3" t="str" cm="1">
        <f t="array" ref="N3">IF(fTbl5[[#This Row],[listlu]]&lt;1,"",IF(INDEX(Ltbl[Generic],fTbl5[[#This Row],[listlu]])="","",INDEX(Ltbl[Generic],fTbl5[[#This Row],[listlu]])))</f>
        <v/>
      </c>
      <c r="O3">
        <f>IF(AND(fTbl5[[#This Row],[listlu]],ISERROR(FIND(",",fTbl5[[#This Row],[liMatch]])),fTbl5[[#This Row],[liMatch]]&lt;&gt;""),1,0)</f>
        <v>0</v>
      </c>
      <c r="P3">
        <f>IF(AND(fTbl5[[#This Row],[LT]]="Ref",ISNA(MATCH(fTbl5[[#This Row],[Field]],rTbl[Ref],0))),1,0)</f>
        <v>0</v>
      </c>
      <c r="Q3"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3">
        <f ca="1">FIND("~",SUBSTITUTE(fTbl5[[#This Row],[Hierarchy]],"|","~",1))</f>
        <v>9</v>
      </c>
      <c r="S3" t="e">
        <f ca="1">FIND("~",SUBSTITUTE(fTbl5[[#This Row],[Hierarchy]],"|","~",2))</f>
        <v>#VALUE!</v>
      </c>
      <c r="T3" cm="1">
        <f t="array" ref="T3">IF(fTbl5[[#This Row],[listlu]]=0,0,IF(INDEX(Ltbl[Context],fTbl5[[#This Row],[listlu]],1)="ALL",1,2))</f>
        <v>0</v>
      </c>
    </row>
    <row r="4" spans="1:21">
      <c r="A4" s="15" t="s">
        <v>25</v>
      </c>
      <c r="B4" t="s">
        <v>366</v>
      </c>
      <c r="D4" s="1"/>
      <c r="E4" s="1"/>
      <c r="F4" s="1"/>
      <c r="G4" s="1"/>
      <c r="H4" s="1"/>
      <c r="I4" s="19" t="s">
        <v>367</v>
      </c>
      <c r="J4" s="28"/>
      <c r="K4" t="str">
        <f ca="1">IFERROR(IF(fTbl5[[#This Row],[LT]]="H",MID(fTbl5[[#This Row],[Hierarchy]],fTbl5[[#This Row],[pipe1]]+1,fTbl5[[#This Row],[pipe2]]-fTbl5[[#This Row],[pipe1]]-1),LEFT(fTbl5[[#This Row],[Hierarchy]],FIND("|",fTbl5[[#This Row],[Hierarchy]])-1)),"")</f>
        <v>Products</v>
      </c>
      <c r="L4" s="1">
        <f ca="1">IF(ROW()=3,0,OFFSET(fTbl5[[#This Row],[Lev]],-1,0)+IF(OFFSET(fTbl5[[#This Row],[LT]],-1,0)="H",1,IF(fTbl5[[#This Row],[LT]]="!H",-1,0)))</f>
        <v>1</v>
      </c>
      <c r="M4">
        <f>IF(RIGHT(fTbl5[[#This Row],[valid]],4)&lt;&gt;"list",0,IFERROR(MATCH(fTbl5[[#This Row],[Context]]&amp;"|"&amp;fTbl5[[#This Row],[Field]],Ltbl[ind],0),IFERROR(MATCH("ALL|"&amp;fTbl5[[#This Row],[Field]],Ltbl[ind],0),-1)))</f>
        <v>0</v>
      </c>
      <c r="N4" t="str" cm="1">
        <f t="array" ref="N4">IF(fTbl5[[#This Row],[listlu]]&lt;1,"",IF(INDEX(Ltbl[Generic],fTbl5[[#This Row],[listlu]])="","",INDEX(Ltbl[Generic],fTbl5[[#This Row],[listlu]])))</f>
        <v/>
      </c>
      <c r="O4">
        <f>IF(AND(fTbl5[[#This Row],[listlu]],ISERROR(FIND(",",fTbl5[[#This Row],[liMatch]])),fTbl5[[#This Row],[liMatch]]&lt;&gt;""),1,0)</f>
        <v>0</v>
      </c>
      <c r="P4">
        <f>IF(AND(fTbl5[[#This Row],[LT]]="Ref",ISNA(MATCH(fTbl5[[#This Row],[Field]],rTbl[Ref],0))),1,0)</f>
        <v>0</v>
      </c>
      <c r="Q4"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4">
        <f ca="1">FIND("~",SUBSTITUTE(fTbl5[[#This Row],[Hierarchy]],"|","~",1))</f>
        <v>9</v>
      </c>
      <c r="S4" t="e">
        <f ca="1">FIND("~",SUBSTITUTE(fTbl5[[#This Row],[Hierarchy]],"|","~",2))</f>
        <v>#VALUE!</v>
      </c>
      <c r="T4" cm="1">
        <f t="array" ref="T4">IF(fTbl5[[#This Row],[listlu]]=0,0,IF(INDEX(Ltbl[Context],fTbl5[[#This Row],[listlu]],1)="ALL",1,2))</f>
        <v>0</v>
      </c>
    </row>
    <row r="5" spans="1:21">
      <c r="A5" s="15" t="s">
        <v>28</v>
      </c>
      <c r="B5" t="s">
        <v>29</v>
      </c>
      <c r="C5" t="s">
        <v>30</v>
      </c>
      <c r="D5" s="1">
        <v>15</v>
      </c>
      <c r="E5" s="1">
        <v>1</v>
      </c>
      <c r="F5" s="1"/>
      <c r="G5" s="1"/>
      <c r="H5" s="1" t="s">
        <v>31</v>
      </c>
      <c r="I5" s="19" t="s">
        <v>32</v>
      </c>
      <c r="J5" s="28" t="s">
        <v>33</v>
      </c>
      <c r="K5" t="str">
        <f ca="1">IFERROR(IF(fTbl5[[#This Row],[LT]]="H",MID(fTbl5[[#This Row],[Hierarchy]],fTbl5[[#This Row],[pipe1]]+1,fTbl5[[#This Row],[pipe2]]-fTbl5[[#This Row],[pipe1]]-1),LEFT(fTbl5[[#This Row],[Hierarchy]],FIND("|",fTbl5[[#This Row],[Hierarchy]])-1)),"")</f>
        <v>Products</v>
      </c>
      <c r="L5" s="1">
        <f ca="1">IF(ROW()=3,0,OFFSET(fTbl5[[#This Row],[Lev]],-1,0)+IF(OFFSET(fTbl5[[#This Row],[LT]],-1,0)="H",1,IF(fTbl5[[#This Row],[LT]]="!H",-1,0)))</f>
        <v>1</v>
      </c>
      <c r="M5">
        <f ca="1">IF(RIGHT(fTbl5[[#This Row],[valid]],4)&lt;&gt;"list",0,IFERROR(MATCH(fTbl5[[#This Row],[Context]]&amp;"|"&amp;fTbl5[[#This Row],[Field]],Ltbl[ind],0),IFERROR(MATCH("ALL|"&amp;fTbl5[[#This Row],[Field]],Ltbl[ind],0),-1)))</f>
        <v>1</v>
      </c>
      <c r="N5" t="str" cm="1">
        <f t="array" aca="1" ref="N5" ca="1">IF(fTbl5[[#This Row],[listlu]]&lt;1,"",IF(INDEX(Ltbl[Generic],fTbl5[[#This Row],[listlu]])="","",INDEX(Ltbl[Generic],fTbl5[[#This Row],[listlu]])))</f>
        <v>CUST</v>
      </c>
      <c r="O5">
        <f ca="1">IF(AND(fTbl5[[#This Row],[listlu]],ISERROR(FIND(",",fTbl5[[#This Row],[liMatch]])),fTbl5[[#This Row],[liMatch]]&lt;&gt;""),1,0)</f>
        <v>1</v>
      </c>
      <c r="P5">
        <f>IF(AND(fTbl5[[#This Row],[LT]]="Ref",ISNA(MATCH(fTbl5[[#This Row],[Field]],rTbl[Ref],0))),1,0)</f>
        <v>0</v>
      </c>
      <c r="Q5"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5">
        <f ca="1">FIND("~",SUBSTITUTE(fTbl5[[#This Row],[Hierarchy]],"|","~",1))</f>
        <v>9</v>
      </c>
      <c r="S5" t="e">
        <f ca="1">FIND("~",SUBSTITUTE(fTbl5[[#This Row],[Hierarchy]],"|","~",2))</f>
        <v>#VALUE!</v>
      </c>
      <c r="T5" cm="1">
        <f t="array" aca="1" ref="T5" ca="1">IF(fTbl5[[#This Row],[listlu]]=0,0,IF(INDEX(Ltbl[Context],fTbl5[[#This Row],[listlu]],1)="ALL",1,2))</f>
        <v>1</v>
      </c>
    </row>
    <row r="6" spans="1:21">
      <c r="A6" s="15" t="s">
        <v>28</v>
      </c>
      <c r="B6" t="s">
        <v>37</v>
      </c>
      <c r="C6" t="s">
        <v>30</v>
      </c>
      <c r="D6" s="1">
        <v>15</v>
      </c>
      <c r="E6" s="1">
        <v>1</v>
      </c>
      <c r="F6" s="1"/>
      <c r="G6" s="1"/>
      <c r="H6" s="1" t="s">
        <v>31</v>
      </c>
      <c r="I6" s="19" t="s">
        <v>38</v>
      </c>
      <c r="J6" s="28" t="s">
        <v>39</v>
      </c>
      <c r="K6" t="str">
        <f ca="1">IFERROR(IF(fTbl5[[#This Row],[LT]]="H",MID(fTbl5[[#This Row],[Hierarchy]],fTbl5[[#This Row],[pipe1]]+1,fTbl5[[#This Row],[pipe2]]-fTbl5[[#This Row],[pipe1]]-1),LEFT(fTbl5[[#This Row],[Hierarchy]],FIND("|",fTbl5[[#This Row],[Hierarchy]])-1)),"")</f>
        <v>Products</v>
      </c>
      <c r="L6" s="1">
        <f ca="1">IF(ROW()=3,0,OFFSET(fTbl5[[#This Row],[Lev]],-1,0)+IF(OFFSET(fTbl5[[#This Row],[LT]],-1,0)="H",1,IF(fTbl5[[#This Row],[LT]]="!H",-1,0)))</f>
        <v>1</v>
      </c>
      <c r="M6">
        <f ca="1">IF(RIGHT(fTbl5[[#This Row],[valid]],4)&lt;&gt;"list",0,IFERROR(MATCH(fTbl5[[#This Row],[Context]]&amp;"|"&amp;fTbl5[[#This Row],[Field]],Ltbl[ind],0),IFERROR(MATCH("ALL|"&amp;fTbl5[[#This Row],[Field]],Ltbl[ind],0),-1)))</f>
        <v>9</v>
      </c>
      <c r="N6" t="str" cm="1">
        <f t="array" aca="1" ref="N6" ca="1">IF(fTbl5[[#This Row],[listlu]]&lt;1,"",IF(INDEX(Ltbl[Generic],fTbl5[[#This Row],[listlu]])="","",INDEX(Ltbl[Generic],fTbl5[[#This Row],[listlu]])))</f>
        <v>ECOM,WS,BULK</v>
      </c>
      <c r="O6">
        <f ca="1">IF(AND(fTbl5[[#This Row],[listlu]],ISERROR(FIND(",",fTbl5[[#This Row],[liMatch]])),fTbl5[[#This Row],[liMatch]]&lt;&gt;""),1,0)</f>
        <v>0</v>
      </c>
      <c r="P6">
        <f>IF(AND(fTbl5[[#This Row],[LT]]="Ref",ISNA(MATCH(fTbl5[[#This Row],[Field]],rTbl[Ref],0))),1,0)</f>
        <v>0</v>
      </c>
      <c r="Q6"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6">
        <f ca="1">FIND("~",SUBSTITUTE(fTbl5[[#This Row],[Hierarchy]],"|","~",1))</f>
        <v>9</v>
      </c>
      <c r="S6" t="e">
        <f ca="1">FIND("~",SUBSTITUTE(fTbl5[[#This Row],[Hierarchy]],"|","~",2))</f>
        <v>#VALUE!</v>
      </c>
      <c r="T6" cm="1">
        <f t="array" aca="1" ref="T6" ca="1">IF(fTbl5[[#This Row],[listlu]]=0,0,IF(INDEX(Ltbl[Context],fTbl5[[#This Row],[listlu]],1)="ALL",1,2))</f>
        <v>1</v>
      </c>
    </row>
    <row r="7" spans="1:21">
      <c r="A7" s="15" t="s">
        <v>28</v>
      </c>
      <c r="B7" t="s">
        <v>40</v>
      </c>
      <c r="C7" t="s">
        <v>30</v>
      </c>
      <c r="D7" s="1">
        <v>250</v>
      </c>
      <c r="E7" s="1">
        <v>0</v>
      </c>
      <c r="F7" s="1"/>
      <c r="G7" s="1"/>
      <c r="H7" s="1"/>
      <c r="I7" s="19" t="s">
        <v>41</v>
      </c>
      <c r="J7" s="28" t="s">
        <v>42</v>
      </c>
      <c r="K7" t="str">
        <f ca="1">IFERROR(IF(fTbl5[[#This Row],[LT]]="H",MID(fTbl5[[#This Row],[Hierarchy]],fTbl5[[#This Row],[pipe1]]+1,fTbl5[[#This Row],[pipe2]]-fTbl5[[#This Row],[pipe1]]-1),LEFT(fTbl5[[#This Row],[Hierarchy]],FIND("|",fTbl5[[#This Row],[Hierarchy]])-1)),"")</f>
        <v>Products</v>
      </c>
      <c r="L7" s="1">
        <f ca="1">IF(ROW()=3,0,OFFSET(fTbl5[[#This Row],[Lev]],-1,0)+IF(OFFSET(fTbl5[[#This Row],[LT]],-1,0)="H",1,IF(fTbl5[[#This Row],[LT]]="!H",-1,0)))</f>
        <v>1</v>
      </c>
      <c r="M7">
        <f>IF(RIGHT(fTbl5[[#This Row],[valid]],4)&lt;&gt;"list",0,IFERROR(MATCH(fTbl5[[#This Row],[Context]]&amp;"|"&amp;fTbl5[[#This Row],[Field]],Ltbl[ind],0),IFERROR(MATCH("ALL|"&amp;fTbl5[[#This Row],[Field]],Ltbl[ind],0),-1)))</f>
        <v>0</v>
      </c>
      <c r="N7" t="str" cm="1">
        <f t="array" ref="N7">IF(fTbl5[[#This Row],[listlu]]&lt;1,"",IF(INDEX(Ltbl[Generic],fTbl5[[#This Row],[listlu]])="","",INDEX(Ltbl[Generic],fTbl5[[#This Row],[listlu]])))</f>
        <v/>
      </c>
      <c r="O7">
        <f>IF(AND(fTbl5[[#This Row],[listlu]],ISERROR(FIND(",",fTbl5[[#This Row],[liMatch]])),fTbl5[[#This Row],[liMatch]]&lt;&gt;""),1,0)</f>
        <v>0</v>
      </c>
      <c r="P7">
        <f>IF(AND(fTbl5[[#This Row],[LT]]="Ref",ISNA(MATCH(fTbl5[[#This Row],[Field]],rTbl[Ref],0))),1,0)</f>
        <v>0</v>
      </c>
      <c r="Q7"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7">
        <f ca="1">FIND("~",SUBSTITUTE(fTbl5[[#This Row],[Hierarchy]],"|","~",1))</f>
        <v>9</v>
      </c>
      <c r="S7" t="e">
        <f ca="1">FIND("~",SUBSTITUTE(fTbl5[[#This Row],[Hierarchy]],"|","~",2))</f>
        <v>#VALUE!</v>
      </c>
      <c r="T7" cm="1">
        <f t="array" ref="T7">IF(fTbl5[[#This Row],[listlu]]=0,0,IF(INDEX(Ltbl[Context],fTbl5[[#This Row],[listlu]],1)="ALL",1,2))</f>
        <v>0</v>
      </c>
    </row>
    <row r="8" spans="1:21">
      <c r="A8" s="15" t="s">
        <v>28</v>
      </c>
      <c r="B8" t="s">
        <v>43</v>
      </c>
      <c r="C8" t="s">
        <v>30</v>
      </c>
      <c r="D8" s="1">
        <v>50</v>
      </c>
      <c r="E8" s="1">
        <v>0</v>
      </c>
      <c r="F8" s="1"/>
      <c r="G8" s="1"/>
      <c r="H8" s="1"/>
      <c r="I8" s="19" t="s">
        <v>368</v>
      </c>
      <c r="J8" s="28" t="s">
        <v>369</v>
      </c>
      <c r="K8" t="str">
        <f ca="1">IFERROR(IF(fTbl5[[#This Row],[LT]]="H",MID(fTbl5[[#This Row],[Hierarchy]],fTbl5[[#This Row],[pipe1]]+1,fTbl5[[#This Row],[pipe2]]-fTbl5[[#This Row],[pipe1]]-1),LEFT(fTbl5[[#This Row],[Hierarchy]],FIND("|",fTbl5[[#This Row],[Hierarchy]])-1)),"")</f>
        <v>Products</v>
      </c>
      <c r="L8" s="1">
        <f ca="1">IF(ROW()=3,0,OFFSET(fTbl5[[#This Row],[Lev]],-1,0)+IF(OFFSET(fTbl5[[#This Row],[LT]],-1,0)="H",1,IF(fTbl5[[#This Row],[LT]]="!H",-1,0)))</f>
        <v>1</v>
      </c>
      <c r="M8">
        <f>IF(RIGHT(fTbl5[[#This Row],[valid]],4)&lt;&gt;"list",0,IFERROR(MATCH(fTbl5[[#This Row],[Context]]&amp;"|"&amp;fTbl5[[#This Row],[Field]],Ltbl[ind],0),IFERROR(MATCH("ALL|"&amp;fTbl5[[#This Row],[Field]],Ltbl[ind],0),-1)))</f>
        <v>0</v>
      </c>
      <c r="N8" t="str" cm="1">
        <f t="array" ref="N8">IF(fTbl5[[#This Row],[listlu]]&lt;1,"",IF(INDEX(Ltbl[Generic],fTbl5[[#This Row],[listlu]])="","",INDEX(Ltbl[Generic],fTbl5[[#This Row],[listlu]])))</f>
        <v/>
      </c>
      <c r="O8">
        <f>IF(AND(fTbl5[[#This Row],[listlu]],ISERROR(FIND(",",fTbl5[[#This Row],[liMatch]])),fTbl5[[#This Row],[liMatch]]&lt;&gt;""),1,0)</f>
        <v>0</v>
      </c>
      <c r="P8">
        <f>IF(AND(fTbl5[[#This Row],[LT]]="Ref",ISNA(MATCH(fTbl5[[#This Row],[Field]],rTbl[Ref],0))),1,0)</f>
        <v>0</v>
      </c>
      <c r="Q8"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8">
        <f ca="1">FIND("~",SUBSTITUTE(fTbl5[[#This Row],[Hierarchy]],"|","~",1))</f>
        <v>9</v>
      </c>
      <c r="S8" t="e">
        <f ca="1">FIND("~",SUBSTITUTE(fTbl5[[#This Row],[Hierarchy]],"|","~",2))</f>
        <v>#VALUE!</v>
      </c>
      <c r="T8" cm="1">
        <f t="array" ref="T8">IF(fTbl5[[#This Row],[listlu]]=0,0,IF(INDEX(Ltbl[Context],fTbl5[[#This Row],[listlu]],1)="ALL",1,2))</f>
        <v>0</v>
      </c>
    </row>
    <row r="9" spans="1:21">
      <c r="A9" s="15" t="s">
        <v>28</v>
      </c>
      <c r="B9" t="s">
        <v>46</v>
      </c>
      <c r="C9" t="s">
        <v>30</v>
      </c>
      <c r="D9" s="1">
        <v>20</v>
      </c>
      <c r="E9" s="1">
        <v>0</v>
      </c>
      <c r="F9" s="1"/>
      <c r="G9" s="1"/>
      <c r="H9" s="1" t="s">
        <v>31</v>
      </c>
      <c r="I9" s="19" t="s">
        <v>47</v>
      </c>
      <c r="J9" s="28" t="s">
        <v>48</v>
      </c>
      <c r="K9" t="str">
        <f ca="1">IFERROR(IF(fTbl5[[#This Row],[LT]]="H",MID(fTbl5[[#This Row],[Hierarchy]],fTbl5[[#This Row],[pipe1]]+1,fTbl5[[#This Row],[pipe2]]-fTbl5[[#This Row],[pipe1]]-1),LEFT(fTbl5[[#This Row],[Hierarchy]],FIND("|",fTbl5[[#This Row],[Hierarchy]])-1)),"")</f>
        <v>Products</v>
      </c>
      <c r="L9" s="1">
        <f ca="1">IF(ROW()=3,0,OFFSET(fTbl5[[#This Row],[Lev]],-1,0)+IF(OFFSET(fTbl5[[#This Row],[LT]],-1,0)="H",1,IF(fTbl5[[#This Row],[LT]]="!H",-1,0)))</f>
        <v>1</v>
      </c>
      <c r="M9">
        <f ca="1">IF(RIGHT(fTbl5[[#This Row],[valid]],4)&lt;&gt;"list",0,IFERROR(MATCH(fTbl5[[#This Row],[Context]]&amp;"|"&amp;fTbl5[[#This Row],[Field]],Ltbl[ind],0),IFERROR(MATCH("ALL|"&amp;fTbl5[[#This Row],[Field]],Ltbl[ind],0),-1)))</f>
        <v>4</v>
      </c>
      <c r="N9" t="str" cm="1">
        <f t="array" aca="1" ref="N9" ca="1">IF(fTbl5[[#This Row],[listlu]]&lt;1,"",IF(INDEX(Ltbl[Generic],fTbl5[[#This Row],[listlu]])="","",INDEX(Ltbl[Generic],fTbl5[[#This Row],[listlu]])))</f>
        <v>ShopEU,ShopUK,NetSuite</v>
      </c>
      <c r="O9">
        <f ca="1">IF(AND(fTbl5[[#This Row],[listlu]],ISERROR(FIND(",",fTbl5[[#This Row],[liMatch]])),fTbl5[[#This Row],[liMatch]]&lt;&gt;""),1,0)</f>
        <v>0</v>
      </c>
      <c r="P9">
        <f>IF(AND(fTbl5[[#This Row],[LT]]="Ref",ISNA(MATCH(fTbl5[[#This Row],[Field]],rTbl[Ref],0))),1,0)</f>
        <v>0</v>
      </c>
      <c r="Q9"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9">
        <f ca="1">FIND("~",SUBSTITUTE(fTbl5[[#This Row],[Hierarchy]],"|","~",1))</f>
        <v>9</v>
      </c>
      <c r="S9" t="e">
        <f ca="1">FIND("~",SUBSTITUTE(fTbl5[[#This Row],[Hierarchy]],"|","~",2))</f>
        <v>#VALUE!</v>
      </c>
      <c r="T9" cm="1">
        <f t="array" aca="1" ref="T9" ca="1">IF(fTbl5[[#This Row],[listlu]]=0,0,IF(INDEX(Ltbl[Context],fTbl5[[#This Row],[listlu]],1)="ALL",1,2))</f>
        <v>1</v>
      </c>
    </row>
    <row r="10" spans="1:21">
      <c r="A10" s="15" t="s">
        <v>28</v>
      </c>
      <c r="B10" t="s">
        <v>50</v>
      </c>
      <c r="C10" t="s">
        <v>30</v>
      </c>
      <c r="D10" s="1">
        <v>20</v>
      </c>
      <c r="E10" s="1">
        <v>0</v>
      </c>
      <c r="F10" s="1"/>
      <c r="G10" s="1"/>
      <c r="H10" s="1" t="s">
        <v>31</v>
      </c>
      <c r="I10" s="19" t="s">
        <v>51</v>
      </c>
      <c r="J10" s="28" t="s">
        <v>52</v>
      </c>
      <c r="K10" t="str">
        <f ca="1">IFERROR(IF(fTbl5[[#This Row],[LT]]="H",MID(fTbl5[[#This Row],[Hierarchy]],fTbl5[[#This Row],[pipe1]]+1,fTbl5[[#This Row],[pipe2]]-fTbl5[[#This Row],[pipe1]]-1),LEFT(fTbl5[[#This Row],[Hierarchy]],FIND("|",fTbl5[[#This Row],[Hierarchy]])-1)),"")</f>
        <v>Products</v>
      </c>
      <c r="L10" s="1">
        <f ca="1">IF(ROW()=3,0,OFFSET(fTbl5[[#This Row],[Lev]],-1,0)+IF(OFFSET(fTbl5[[#This Row],[LT]],-1,0)="H",1,IF(fTbl5[[#This Row],[LT]]="!H",-1,0)))</f>
        <v>1</v>
      </c>
      <c r="M10">
        <f ca="1">IF(RIGHT(fTbl5[[#This Row],[valid]],4)&lt;&gt;"list",0,IFERROR(MATCH(fTbl5[[#This Row],[Context]]&amp;"|"&amp;fTbl5[[#This Row],[Field]],Ltbl[ind],0),IFERROR(MATCH("ALL|"&amp;fTbl5[[#This Row],[Field]],Ltbl[ind],0),-1)))</f>
        <v>3</v>
      </c>
      <c r="N10" t="str" cm="1">
        <f t="array" aca="1" ref="N10" ca="1">IF(fTbl5[[#This Row],[listlu]]&lt;1,"",IF(INDEX(Ltbl[Generic],fTbl5[[#This Row],[listlu]])="","",INDEX(Ltbl[Generic],fTbl5[[#This Row],[listlu]])))</f>
        <v>MyFirstBrand,OtherBrand</v>
      </c>
      <c r="O10">
        <f ca="1">IF(AND(fTbl5[[#This Row],[listlu]],ISERROR(FIND(",",fTbl5[[#This Row],[liMatch]])),fTbl5[[#This Row],[liMatch]]&lt;&gt;""),1,0)</f>
        <v>0</v>
      </c>
      <c r="P10">
        <f>IF(AND(fTbl5[[#This Row],[LT]]="Ref",ISNA(MATCH(fTbl5[[#This Row],[Field]],rTbl[Ref],0))),1,0)</f>
        <v>0</v>
      </c>
      <c r="Q10"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10">
        <f ca="1">FIND("~",SUBSTITUTE(fTbl5[[#This Row],[Hierarchy]],"|","~",1))</f>
        <v>9</v>
      </c>
      <c r="S10" t="e">
        <f ca="1">FIND("~",SUBSTITUTE(fTbl5[[#This Row],[Hierarchy]],"|","~",2))</f>
        <v>#VALUE!</v>
      </c>
      <c r="T10" cm="1">
        <f t="array" aca="1" ref="T10" ca="1">IF(fTbl5[[#This Row],[listlu]]=0,0,IF(INDEX(Ltbl[Context],fTbl5[[#This Row],[listlu]],1)="ALL",1,2))</f>
        <v>1</v>
      </c>
    </row>
    <row r="11" spans="1:21">
      <c r="A11" s="15" t="s">
        <v>28</v>
      </c>
      <c r="B11" t="s">
        <v>60</v>
      </c>
      <c r="C11" t="s">
        <v>30</v>
      </c>
      <c r="D11" s="1">
        <v>5</v>
      </c>
      <c r="E11" s="1">
        <v>1</v>
      </c>
      <c r="F11" s="1"/>
      <c r="G11" s="1"/>
      <c r="H11" s="1" t="s">
        <v>56</v>
      </c>
      <c r="I11" s="19" t="s">
        <v>370</v>
      </c>
      <c r="J11" s="28" t="s">
        <v>62</v>
      </c>
      <c r="K11" t="str">
        <f ca="1">IFERROR(IF(fTbl5[[#This Row],[LT]]="H",MID(fTbl5[[#This Row],[Hierarchy]],fTbl5[[#This Row],[pipe1]]+1,fTbl5[[#This Row],[pipe2]]-fTbl5[[#This Row],[pipe1]]-1),LEFT(fTbl5[[#This Row],[Hierarchy]],FIND("|",fTbl5[[#This Row],[Hierarchy]])-1)),"")</f>
        <v>Products</v>
      </c>
      <c r="L11" s="1">
        <f ca="1">IF(ROW()=3,0,OFFSET(fTbl5[[#This Row],[Lev]],-1,0)+IF(OFFSET(fTbl5[[#This Row],[LT]],-1,0)="H",1,IF(fTbl5[[#This Row],[LT]]="!H",-1,0)))</f>
        <v>1</v>
      </c>
      <c r="M11">
        <f ca="1">IF(RIGHT(fTbl5[[#This Row],[valid]],4)&lt;&gt;"list",0,IFERROR(MATCH(fTbl5[[#This Row],[Context]]&amp;"|"&amp;fTbl5[[#This Row],[Field]],Ltbl[ind],0),IFERROR(MATCH("ALL|"&amp;fTbl5[[#This Row],[Field]],Ltbl[ind],0),-1)))</f>
        <v>8</v>
      </c>
      <c r="N11" t="str">
        <f t="array" aca="1" ref="N11" ca="1">IF(fTbl5[[#This Row],[listlu]]&lt;1,"",IF(INDEX(Ltbl[Generic],fTbl5[[#This Row],[listlu]])="","",INDEX(Ltbl[Generic],fTbl5[[#This Row],[listlu]])))</f>
        <v>NEW,UPD</v>
      </c>
      <c r="O11">
        <f ca="1">IF(AND(fTbl5[[#This Row],[listlu]],ISERROR(FIND(",",fTbl5[[#This Row],[liMatch]])),fTbl5[[#This Row],[liMatch]]&lt;&gt;""),1,0)</f>
        <v>0</v>
      </c>
      <c r="P11">
        <f>IF(AND(fTbl5[[#This Row],[LT]]="Ref",ISNA(MATCH(fTbl5[[#This Row],[Field]],rTbl[Ref],0))),1,0)</f>
        <v>0</v>
      </c>
      <c r="Q11"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11">
        <f ca="1">FIND("~",SUBSTITUTE(fTbl5[[#This Row],[Hierarchy]],"|","~",1))</f>
        <v>9</v>
      </c>
      <c r="S11" t="e">
        <f ca="1">FIND("~",SUBSTITUTE(fTbl5[[#This Row],[Hierarchy]],"|","~",2))</f>
        <v>#VALUE!</v>
      </c>
      <c r="T11" cm="1">
        <f t="array" aca="1" ref="T11" ca="1">IF(fTbl5[[#This Row],[listlu]]=0,0,IF(INDEX(Ltbl[Context],fTbl5[[#This Row],[listlu]],1)="ALL",1,2))</f>
        <v>1</v>
      </c>
    </row>
    <row r="12" spans="1:21">
      <c r="A12" s="15" t="s">
        <v>28</v>
      </c>
      <c r="B12" t="s">
        <v>152</v>
      </c>
      <c r="C12" t="s">
        <v>30</v>
      </c>
      <c r="D12" s="1">
        <v>30</v>
      </c>
      <c r="E12" s="1">
        <v>1</v>
      </c>
      <c r="F12" s="1"/>
      <c r="G12" s="1"/>
      <c r="H12" s="1"/>
      <c r="I12" s="19" t="s">
        <v>371</v>
      </c>
      <c r="J12" s="28" t="s">
        <v>369</v>
      </c>
      <c r="K12" t="str">
        <f ca="1">IFERROR(IF(fTbl5[[#This Row],[LT]]="H",MID(fTbl5[[#This Row],[Hierarchy]],fTbl5[[#This Row],[pipe1]]+1,fTbl5[[#This Row],[pipe2]]-fTbl5[[#This Row],[pipe1]]-1),LEFT(fTbl5[[#This Row],[Hierarchy]],FIND("|",fTbl5[[#This Row],[Hierarchy]])-1)),"")</f>
        <v>Products</v>
      </c>
      <c r="L12" s="1">
        <f ca="1">IF(ROW()=3,0,OFFSET(fTbl5[[#This Row],[Lev]],-1,0)+IF(OFFSET(fTbl5[[#This Row],[LT]],-1,0)="H",1,IF(fTbl5[[#This Row],[LT]]="!H",-1,0)))</f>
        <v>1</v>
      </c>
      <c r="M12">
        <f>IF(RIGHT(fTbl5[[#This Row],[valid]],4)&lt;&gt;"list",0,IFERROR(MATCH(fTbl5[[#This Row],[Context]]&amp;"|"&amp;fTbl5[[#This Row],[Field]],Ltbl[ind],0),IFERROR(MATCH("ALL|"&amp;fTbl5[[#This Row],[Field]],Ltbl[ind],0),-1)))</f>
        <v>0</v>
      </c>
      <c r="N12" t="str" cm="1">
        <f t="array" ref="N12">IF(fTbl5[[#This Row],[listlu]]&lt;1,"",IF(INDEX(Ltbl[Generic],fTbl5[[#This Row],[listlu]])="","",INDEX(Ltbl[Generic],fTbl5[[#This Row],[listlu]])))</f>
        <v/>
      </c>
      <c r="O12">
        <f>IF(AND(fTbl5[[#This Row],[listlu]],ISERROR(FIND(",",fTbl5[[#This Row],[liMatch]])),fTbl5[[#This Row],[liMatch]]&lt;&gt;""),1,0)</f>
        <v>0</v>
      </c>
      <c r="P12">
        <f>IF(AND(fTbl5[[#This Row],[LT]]="Ref",ISNA(MATCH(fTbl5[[#This Row],[Field]],rTbl[Ref],0))),1,0)</f>
        <v>0</v>
      </c>
      <c r="Q12"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12">
        <f ca="1">FIND("~",SUBSTITUTE(fTbl5[[#This Row],[Hierarchy]],"|","~",1))</f>
        <v>9</v>
      </c>
      <c r="S12" t="e">
        <f ca="1">FIND("~",SUBSTITUTE(fTbl5[[#This Row],[Hierarchy]],"|","~",2))</f>
        <v>#VALUE!</v>
      </c>
      <c r="T12" cm="1">
        <f t="array" ref="T12">IF(fTbl5[[#This Row],[listlu]]=0,0,IF(INDEX(Ltbl[Context],fTbl5[[#This Row],[listlu]],1)="ALL",1,2))</f>
        <v>0</v>
      </c>
    </row>
    <row r="13" spans="1:21">
      <c r="A13" s="15" t="s">
        <v>28</v>
      </c>
      <c r="B13" t="s">
        <v>372</v>
      </c>
      <c r="C13" t="s">
        <v>30</v>
      </c>
      <c r="D13" s="1">
        <v>5</v>
      </c>
      <c r="E13" s="1">
        <v>1</v>
      </c>
      <c r="F13" s="1"/>
      <c r="G13" s="1"/>
      <c r="H13" s="1" t="s">
        <v>56</v>
      </c>
      <c r="I13" s="19" t="s">
        <v>373</v>
      </c>
      <c r="J13" s="28" t="s">
        <v>374</v>
      </c>
      <c r="K13" t="str">
        <f ca="1">IFERROR(IF(fTbl5[[#This Row],[LT]]="H",MID(fTbl5[[#This Row],[Hierarchy]],fTbl5[[#This Row],[pipe1]]+1,fTbl5[[#This Row],[pipe2]]-fTbl5[[#This Row],[pipe1]]-1),LEFT(fTbl5[[#This Row],[Hierarchy]],FIND("|",fTbl5[[#This Row],[Hierarchy]])-1)),"")</f>
        <v>Products</v>
      </c>
      <c r="L13" s="1">
        <f ca="1">IF(ROW()=3,0,OFFSET(fTbl5[[#This Row],[Lev]],-1,0)+IF(OFFSET(fTbl5[[#This Row],[LT]],-1,0)="H",1,IF(fTbl5[[#This Row],[LT]]="!H",-1,0)))</f>
        <v>1</v>
      </c>
      <c r="M13">
        <f ca="1">IF(RIGHT(fTbl5[[#This Row],[valid]],4)&lt;&gt;"list",0,IFERROR(MATCH(fTbl5[[#This Row],[Context]]&amp;"|"&amp;fTbl5[[#This Row],[Field]],Ltbl[ind],0),IFERROR(MATCH("ALL|"&amp;fTbl5[[#This Row],[Field]],Ltbl[ind],0),-1)))</f>
        <v>27</v>
      </c>
      <c r="N13" t="str" cm="1">
        <f t="array" aca="1" ref="N13" ca="1">IF(fTbl5[[#This Row],[listlu]]&lt;1,"",IF(INDEX(Ltbl[Generic],fTbl5[[#This Row],[listlu]])="","",INDEX(Ltbl[Generic],fTbl5[[#This Row],[listlu]])))</f>
        <v>STOCK,KIT,CONS,VIRT</v>
      </c>
      <c r="O13">
        <f ca="1">IF(AND(fTbl5[[#This Row],[listlu]],ISERROR(FIND(",",fTbl5[[#This Row],[liMatch]])),fTbl5[[#This Row],[liMatch]]&lt;&gt;""),1,0)</f>
        <v>0</v>
      </c>
      <c r="P13">
        <f>IF(AND(fTbl5[[#This Row],[LT]]="Ref",ISNA(MATCH(fTbl5[[#This Row],[Field]],rTbl[Ref],0))),1,0)</f>
        <v>0</v>
      </c>
      <c r="Q13"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13">
        <f ca="1">FIND("~",SUBSTITUTE(fTbl5[[#This Row],[Hierarchy]],"|","~",1))</f>
        <v>9</v>
      </c>
      <c r="S13" t="e">
        <f ca="1">FIND("~",SUBSTITUTE(fTbl5[[#This Row],[Hierarchy]],"|","~",2))</f>
        <v>#VALUE!</v>
      </c>
      <c r="T13" cm="1">
        <f t="array" aca="1" ref="T13" ca="1">IF(fTbl5[[#This Row],[listlu]]=0,0,IF(INDEX(Ltbl[Context],fTbl5[[#This Row],[listlu]],1)="ALL",1,2))</f>
        <v>2</v>
      </c>
    </row>
    <row r="14" spans="1:21">
      <c r="A14" s="15" t="s">
        <v>28</v>
      </c>
      <c r="B14" t="s">
        <v>331</v>
      </c>
      <c r="C14" t="s">
        <v>30</v>
      </c>
      <c r="D14" s="1">
        <v>5</v>
      </c>
      <c r="E14" s="1">
        <v>1</v>
      </c>
      <c r="F14" s="1"/>
      <c r="G14" s="1"/>
      <c r="H14" s="1" t="s">
        <v>56</v>
      </c>
      <c r="I14" s="19" t="s">
        <v>375</v>
      </c>
      <c r="J14" s="28" t="s">
        <v>376</v>
      </c>
      <c r="K14" t="str">
        <f ca="1">IFERROR(IF(fTbl5[[#This Row],[LT]]="H",MID(fTbl5[[#This Row],[Hierarchy]],fTbl5[[#This Row],[pipe1]]+1,fTbl5[[#This Row],[pipe2]]-fTbl5[[#This Row],[pipe1]]-1),LEFT(fTbl5[[#This Row],[Hierarchy]],FIND("|",fTbl5[[#This Row],[Hierarchy]])-1)),"")</f>
        <v>Products</v>
      </c>
      <c r="L14" s="1">
        <f ca="1">IF(ROW()=3,0,OFFSET(fTbl5[[#This Row],[Lev]],-1,0)+IF(OFFSET(fTbl5[[#This Row],[LT]],-1,0)="H",1,IF(fTbl5[[#This Row],[LT]]="!H",-1,0)))</f>
        <v>1</v>
      </c>
      <c r="M14">
        <f ca="1">IF(RIGHT(fTbl5[[#This Row],[valid]],4)&lt;&gt;"list",0,IFERROR(MATCH(fTbl5[[#This Row],[Context]]&amp;"|"&amp;fTbl5[[#This Row],[Field]],Ltbl[ind],0),IFERROR(MATCH("ALL|"&amp;fTbl5[[#This Row],[Field]],Ltbl[ind],0),-1)))</f>
        <v>26</v>
      </c>
      <c r="N14" t="str" cm="1">
        <f t="array" aca="1" ref="N14" ca="1">IF(fTbl5[[#This Row],[listlu]]&lt;1,"",IF(INDEX(Ltbl[Generic],fTbl5[[#This Row],[listlu]])="","",INDEX(Ltbl[Generic],fTbl5[[#This Row],[listlu]])))</f>
        <v>ACTI,SUSP,DISC</v>
      </c>
      <c r="O14">
        <f ca="1">IF(AND(fTbl5[[#This Row],[listlu]],ISERROR(FIND(",",fTbl5[[#This Row],[liMatch]])),fTbl5[[#This Row],[liMatch]]&lt;&gt;""),1,0)</f>
        <v>0</v>
      </c>
      <c r="P14">
        <f>IF(AND(fTbl5[[#This Row],[LT]]="Ref",ISNA(MATCH(fTbl5[[#This Row],[Field]],rTbl[Ref],0))),1,0)</f>
        <v>0</v>
      </c>
      <c r="Q14"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14">
        <f ca="1">FIND("~",SUBSTITUTE(fTbl5[[#This Row],[Hierarchy]],"|","~",1))</f>
        <v>9</v>
      </c>
      <c r="S14" t="e">
        <f ca="1">FIND("~",SUBSTITUTE(fTbl5[[#This Row],[Hierarchy]],"|","~",2))</f>
        <v>#VALUE!</v>
      </c>
      <c r="T14" cm="1">
        <f t="array" aca="1" ref="T14" ca="1">IF(fTbl5[[#This Row],[listlu]]=0,0,IF(INDEX(Ltbl[Context],fTbl5[[#This Row],[listlu]],1)="ALL",1,2))</f>
        <v>2</v>
      </c>
    </row>
    <row r="15" spans="1:21">
      <c r="A15" s="15" t="s">
        <v>28</v>
      </c>
      <c r="B15" t="s">
        <v>377</v>
      </c>
      <c r="C15" t="s">
        <v>94</v>
      </c>
      <c r="D15" s="1"/>
      <c r="E15" s="1">
        <v>1</v>
      </c>
      <c r="F15" s="1"/>
      <c r="G15" s="1"/>
      <c r="H15" s="1"/>
      <c r="I15" s="19" t="s">
        <v>378</v>
      </c>
      <c r="J15" s="27" t="s">
        <v>379</v>
      </c>
      <c r="K15" t="str">
        <f ca="1">IFERROR(IF(fTbl5[[#This Row],[LT]]="H",MID(fTbl5[[#This Row],[Hierarchy]],fTbl5[[#This Row],[pipe1]]+1,fTbl5[[#This Row],[pipe2]]-fTbl5[[#This Row],[pipe1]]-1),LEFT(fTbl5[[#This Row],[Hierarchy]],FIND("|",fTbl5[[#This Row],[Hierarchy]])-1)),"")</f>
        <v>Products</v>
      </c>
      <c r="L15" s="1">
        <f ca="1">IF(ROW()=3,0,OFFSET(fTbl5[[#This Row],[Lev]],-1,0)+IF(OFFSET(fTbl5[[#This Row],[LT]],-1,0)="H",1,IF(fTbl5[[#This Row],[LT]]="!H",-1,0)))</f>
        <v>1</v>
      </c>
      <c r="M15">
        <f>IF(RIGHT(fTbl5[[#This Row],[valid]],4)&lt;&gt;"list",0,IFERROR(MATCH(fTbl5[[#This Row],[Context]]&amp;"|"&amp;fTbl5[[#This Row],[Field]],Ltbl[ind],0),IFERROR(MATCH("ALL|"&amp;fTbl5[[#This Row],[Field]],Ltbl[ind],0),-1)))</f>
        <v>0</v>
      </c>
      <c r="N15" t="str" cm="1">
        <f t="array" ref="N15">IF(fTbl5[[#This Row],[listlu]]&lt;1,"",IF(INDEX(Ltbl[Generic],fTbl5[[#This Row],[listlu]])="","",INDEX(Ltbl[Generic],fTbl5[[#This Row],[listlu]])))</f>
        <v/>
      </c>
      <c r="O15">
        <f>IF(AND(fTbl5[[#This Row],[listlu]],ISERROR(FIND(",",fTbl5[[#This Row],[liMatch]])),fTbl5[[#This Row],[liMatch]]&lt;&gt;""),1,0)</f>
        <v>0</v>
      </c>
      <c r="P15">
        <f>IF(AND(fTbl5[[#This Row],[LT]]="Ref",ISNA(MATCH(fTbl5[[#This Row],[Field]],rTbl[Ref],0))),1,0)</f>
        <v>0</v>
      </c>
      <c r="Q15"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15">
        <f ca="1">FIND("~",SUBSTITUTE(fTbl5[[#This Row],[Hierarchy]],"|","~",1))</f>
        <v>9</v>
      </c>
      <c r="S15" t="e">
        <f ca="1">FIND("~",SUBSTITUTE(fTbl5[[#This Row],[Hierarchy]],"|","~",2))</f>
        <v>#VALUE!</v>
      </c>
      <c r="T15" cm="1">
        <f t="array" ref="T15">IF(fTbl5[[#This Row],[listlu]]=0,0,IF(INDEX(Ltbl[Context],fTbl5[[#This Row],[listlu]],1)="ALL",1,2))</f>
        <v>0</v>
      </c>
    </row>
    <row r="16" spans="1:21">
      <c r="A16" s="15" t="s">
        <v>123</v>
      </c>
      <c r="B16" t="s">
        <v>380</v>
      </c>
      <c r="D16" s="1"/>
      <c r="E16" s="1">
        <v>0</v>
      </c>
      <c r="F16" s="1" t="s">
        <v>23</v>
      </c>
      <c r="G16" s="1"/>
      <c r="H16" s="1"/>
      <c r="I16" s="19" t="s">
        <v>381</v>
      </c>
      <c r="J16" s="28"/>
      <c r="K16" t="str">
        <f ca="1">IFERROR(IF(fTbl5[[#This Row],[LT]]="H",MID(fTbl5[[#This Row],[Hierarchy]],fTbl5[[#This Row],[pipe1]]+1,fTbl5[[#This Row],[pipe2]]-fTbl5[[#This Row],[pipe1]]-1),LEFT(fTbl5[[#This Row],[Hierarchy]],FIND("|",fTbl5[[#This Row],[Hierarchy]])-1)),"")</f>
        <v>Products</v>
      </c>
      <c r="L16" s="1">
        <f ca="1">IF(ROW()=3,0,OFFSET(fTbl5[[#This Row],[Lev]],-1,0)+IF(OFFSET(fTbl5[[#This Row],[LT]],-1,0)="H",1,IF(fTbl5[[#This Row],[LT]]="!H",-1,0)))</f>
        <v>1</v>
      </c>
      <c r="M16">
        <f>IF(RIGHT(fTbl5[[#This Row],[valid]],4)&lt;&gt;"list",0,IFERROR(MATCH(fTbl5[[#This Row],[Context]]&amp;"|"&amp;fTbl5[[#This Row],[Field]],Ltbl[ind],0),IFERROR(MATCH("ALL|"&amp;fTbl5[[#This Row],[Field]],Ltbl[ind],0),-1)))</f>
        <v>0</v>
      </c>
      <c r="N16" t="str" cm="1">
        <f t="array" ref="N16">IF(fTbl5[[#This Row],[listlu]]&lt;1,"",IF(INDEX(Ltbl[Generic],fTbl5[[#This Row],[listlu]])="","",INDEX(Ltbl[Generic],fTbl5[[#This Row],[listlu]])))</f>
        <v/>
      </c>
      <c r="O16">
        <f>IF(AND(fTbl5[[#This Row],[listlu]],ISERROR(FIND(",",fTbl5[[#This Row],[liMatch]])),fTbl5[[#This Row],[liMatch]]&lt;&gt;""),1,0)</f>
        <v>0</v>
      </c>
      <c r="P16">
        <f>IF(AND(fTbl5[[#This Row],[LT]]="Ref",ISNA(MATCH(fTbl5[[#This Row],[Field]],rTbl[Ref],0))),1,0)</f>
        <v>0</v>
      </c>
      <c r="Q16"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16">
        <f ca="1">FIND("~",SUBSTITUTE(fTbl5[[#This Row],[Hierarchy]],"|","~",1))</f>
        <v>9</v>
      </c>
      <c r="S16" t="e">
        <f ca="1">FIND("~",SUBSTITUTE(fTbl5[[#This Row],[Hierarchy]],"|","~",2))</f>
        <v>#VALUE!</v>
      </c>
      <c r="T16" cm="1">
        <f t="array" ref="T16">IF(fTbl5[[#This Row],[listlu]]=0,0,IF(INDEX(Ltbl[Context],fTbl5[[#This Row],[listlu]],1)="ALL",1,2))</f>
        <v>0</v>
      </c>
    </row>
    <row r="17" spans="1:20">
      <c r="A17" s="15" t="s">
        <v>25</v>
      </c>
      <c r="B17" t="s">
        <v>382</v>
      </c>
      <c r="D17" s="1"/>
      <c r="E17" s="1"/>
      <c r="F17" s="1"/>
      <c r="G17" s="1"/>
      <c r="H17" s="1"/>
      <c r="I17" s="19" t="s">
        <v>383</v>
      </c>
      <c r="J17" s="28"/>
      <c r="K17" t="str">
        <f ca="1">IFERROR(IF(fTbl5[[#This Row],[LT]]="H",MID(fTbl5[[#This Row],[Hierarchy]],fTbl5[[#This Row],[pipe1]]+1,fTbl5[[#This Row],[pipe2]]-fTbl5[[#This Row],[pipe1]]-1),LEFT(fTbl5[[#This Row],[Hierarchy]],FIND("|",fTbl5[[#This Row],[Hierarchy]])-1)),"")</f>
        <v>Products</v>
      </c>
      <c r="L17" s="1">
        <f ca="1">IF(ROW()=3,0,OFFSET(fTbl5[[#This Row],[Lev]],-1,0)+IF(OFFSET(fTbl5[[#This Row],[LT]],-1,0)="H",1,IF(fTbl5[[#This Row],[LT]]="!H",-1,0)))</f>
        <v>1</v>
      </c>
      <c r="M17">
        <f>IF(RIGHT(fTbl5[[#This Row],[valid]],4)&lt;&gt;"list",0,IFERROR(MATCH(fTbl5[[#This Row],[Context]]&amp;"|"&amp;fTbl5[[#This Row],[Field]],Ltbl[ind],0),IFERROR(MATCH("ALL|"&amp;fTbl5[[#This Row],[Field]],Ltbl[ind],0),-1)))</f>
        <v>0</v>
      </c>
      <c r="N17" t="str" cm="1">
        <f t="array" ref="N17">IF(fTbl5[[#This Row],[listlu]]&lt;1,"",IF(INDEX(Ltbl[Generic],fTbl5[[#This Row],[listlu]])="","",INDEX(Ltbl[Generic],fTbl5[[#This Row],[listlu]])))</f>
        <v/>
      </c>
      <c r="O17">
        <f>IF(AND(fTbl5[[#This Row],[listlu]],ISERROR(FIND(",",fTbl5[[#This Row],[liMatch]])),fTbl5[[#This Row],[liMatch]]&lt;&gt;""),1,0)</f>
        <v>0</v>
      </c>
      <c r="P17">
        <f>IF(AND(fTbl5[[#This Row],[LT]]="Ref",ISNA(MATCH(fTbl5[[#This Row],[Field]],rTbl[Ref],0))),1,0)</f>
        <v>0</v>
      </c>
      <c r="Q17"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17">
        <f ca="1">FIND("~",SUBSTITUTE(fTbl5[[#This Row],[Hierarchy]],"|","~",1))</f>
        <v>9</v>
      </c>
      <c r="S17" t="e">
        <f ca="1">FIND("~",SUBSTITUTE(fTbl5[[#This Row],[Hierarchy]],"|","~",2))</f>
        <v>#VALUE!</v>
      </c>
      <c r="T17" cm="1">
        <f t="array" ref="T17">IF(fTbl5[[#This Row],[listlu]]=0,0,IF(INDEX(Ltbl[Context],fTbl5[[#This Row],[listlu]],1)="ALL",1,2))</f>
        <v>0</v>
      </c>
    </row>
    <row r="18" spans="1:20">
      <c r="A18" s="15" t="s">
        <v>28</v>
      </c>
      <c r="B18" t="s">
        <v>384</v>
      </c>
      <c r="C18" t="s">
        <v>30</v>
      </c>
      <c r="D18" s="1">
        <v>30</v>
      </c>
      <c r="E18" s="1" t="s">
        <v>385</v>
      </c>
      <c r="F18" s="1"/>
      <c r="G18" s="1"/>
      <c r="H18" s="1"/>
      <c r="I18" s="19" t="s">
        <v>386</v>
      </c>
      <c r="J18" s="28" t="s">
        <v>387</v>
      </c>
      <c r="K18" t="str">
        <f ca="1">IFERROR(IF(fTbl5[[#This Row],[LT]]="H",MID(fTbl5[[#This Row],[Hierarchy]],fTbl5[[#This Row],[pipe1]]+1,fTbl5[[#This Row],[pipe2]]-fTbl5[[#This Row],[pipe1]]-1),LEFT(fTbl5[[#This Row],[Hierarchy]],FIND("|",fTbl5[[#This Row],[Hierarchy]])-1)),"")</f>
        <v>Products</v>
      </c>
      <c r="L18" s="1">
        <f ca="1">IF(ROW()=3,0,OFFSET(fTbl5[[#This Row],[Lev]],-1,0)+IF(OFFSET(fTbl5[[#This Row],[LT]],-1,0)="H",1,IF(fTbl5[[#This Row],[LT]]="!H",-1,0)))</f>
        <v>1</v>
      </c>
      <c r="M18">
        <f>IF(RIGHT(fTbl5[[#This Row],[valid]],4)&lt;&gt;"list",0,IFERROR(MATCH(fTbl5[[#This Row],[Context]]&amp;"|"&amp;fTbl5[[#This Row],[Field]],Ltbl[ind],0),IFERROR(MATCH("ALL|"&amp;fTbl5[[#This Row],[Field]],Ltbl[ind],0),-1)))</f>
        <v>0</v>
      </c>
      <c r="N18" t="str" cm="1">
        <f t="array" ref="N18">IF(fTbl5[[#This Row],[listlu]]&lt;1,"",IF(INDEX(Ltbl[Generic],fTbl5[[#This Row],[listlu]])="","",INDEX(Ltbl[Generic],fTbl5[[#This Row],[listlu]])))</f>
        <v/>
      </c>
      <c r="O18">
        <f>IF(AND(fTbl5[[#This Row],[listlu]],ISERROR(FIND(",",fTbl5[[#This Row],[liMatch]])),fTbl5[[#This Row],[liMatch]]&lt;&gt;""),1,0)</f>
        <v>0</v>
      </c>
      <c r="P18">
        <f>IF(AND(fTbl5[[#This Row],[LT]]="Ref",ISNA(MATCH(fTbl5[[#This Row],[Field]],rTbl[Ref],0))),1,0)</f>
        <v>0</v>
      </c>
      <c r="Q18"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18">
        <f ca="1">FIND("~",SUBSTITUTE(fTbl5[[#This Row],[Hierarchy]],"|","~",1))</f>
        <v>9</v>
      </c>
      <c r="S18" t="e">
        <f ca="1">FIND("~",SUBSTITUTE(fTbl5[[#This Row],[Hierarchy]],"|","~",2))</f>
        <v>#VALUE!</v>
      </c>
      <c r="T18" cm="1">
        <f t="array" ref="T18">IF(fTbl5[[#This Row],[listlu]]=0,0,IF(INDEX(Ltbl[Context],fTbl5[[#This Row],[listlu]],1)="ALL",1,2))</f>
        <v>0</v>
      </c>
    </row>
    <row r="19" spans="1:20">
      <c r="A19" s="15" t="s">
        <v>28</v>
      </c>
      <c r="B19" t="s">
        <v>388</v>
      </c>
      <c r="C19" t="s">
        <v>30</v>
      </c>
      <c r="D19" s="1">
        <v>250</v>
      </c>
      <c r="E19" s="1" t="s">
        <v>385</v>
      </c>
      <c r="F19" s="1"/>
      <c r="G19" s="1"/>
      <c r="H19" s="1"/>
      <c r="I19" s="19" t="s">
        <v>389</v>
      </c>
      <c r="J19" s="28" t="s">
        <v>390</v>
      </c>
      <c r="K19" t="str">
        <f ca="1">IFERROR(IF(fTbl5[[#This Row],[LT]]="H",MID(fTbl5[[#This Row],[Hierarchy]],fTbl5[[#This Row],[pipe1]]+1,fTbl5[[#This Row],[pipe2]]-fTbl5[[#This Row],[pipe1]]-1),LEFT(fTbl5[[#This Row],[Hierarchy]],FIND("|",fTbl5[[#This Row],[Hierarchy]])-1)),"")</f>
        <v>Products</v>
      </c>
      <c r="L19" s="1">
        <f ca="1">IF(ROW()=3,0,OFFSET(fTbl5[[#This Row],[Lev]],-1,0)+IF(OFFSET(fTbl5[[#This Row],[LT]],-1,0)="H",1,IF(fTbl5[[#This Row],[LT]]="!H",-1,0)))</f>
        <v>1</v>
      </c>
      <c r="M19">
        <f>IF(RIGHT(fTbl5[[#This Row],[valid]],4)&lt;&gt;"list",0,IFERROR(MATCH(fTbl5[[#This Row],[Context]]&amp;"|"&amp;fTbl5[[#This Row],[Field]],Ltbl[ind],0),IFERROR(MATCH("ALL|"&amp;fTbl5[[#This Row],[Field]],Ltbl[ind],0),-1)))</f>
        <v>0</v>
      </c>
      <c r="N19" t="str" cm="1">
        <f t="array" ref="N19">IF(fTbl5[[#This Row],[listlu]]&lt;1,"",IF(INDEX(Ltbl[Generic],fTbl5[[#This Row],[listlu]])="","",INDEX(Ltbl[Generic],fTbl5[[#This Row],[listlu]])))</f>
        <v/>
      </c>
      <c r="O19">
        <f>IF(AND(fTbl5[[#This Row],[listlu]],ISERROR(FIND(",",fTbl5[[#This Row],[liMatch]])),fTbl5[[#This Row],[liMatch]]&lt;&gt;""),1,0)</f>
        <v>0</v>
      </c>
      <c r="P19">
        <f>IF(AND(fTbl5[[#This Row],[LT]]="Ref",ISNA(MATCH(fTbl5[[#This Row],[Field]],rTbl[Ref],0))),1,0)</f>
        <v>0</v>
      </c>
      <c r="Q19"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19">
        <f ca="1">FIND("~",SUBSTITUTE(fTbl5[[#This Row],[Hierarchy]],"|","~",1))</f>
        <v>9</v>
      </c>
      <c r="S19" t="e">
        <f ca="1">FIND("~",SUBSTITUTE(fTbl5[[#This Row],[Hierarchy]],"|","~",2))</f>
        <v>#VALUE!</v>
      </c>
      <c r="T19" cm="1">
        <f t="array" ref="T19">IF(fTbl5[[#This Row],[listlu]]=0,0,IF(INDEX(Ltbl[Context],fTbl5[[#This Row],[listlu]],1)="ALL",1,2))</f>
        <v>0</v>
      </c>
    </row>
    <row r="20" spans="1:20">
      <c r="A20" s="15" t="s">
        <v>28</v>
      </c>
      <c r="B20" t="s">
        <v>391</v>
      </c>
      <c r="C20" t="s">
        <v>30</v>
      </c>
      <c r="D20" s="1">
        <v>50</v>
      </c>
      <c r="E20" s="1">
        <v>1</v>
      </c>
      <c r="F20" s="1"/>
      <c r="G20" s="1"/>
      <c r="H20" s="1"/>
      <c r="I20" s="19" t="s">
        <v>392</v>
      </c>
      <c r="J20" s="28" t="s">
        <v>393</v>
      </c>
      <c r="K20" t="str">
        <f ca="1">IFERROR(IF(fTbl5[[#This Row],[LT]]="H",MID(fTbl5[[#This Row],[Hierarchy]],fTbl5[[#This Row],[pipe1]]+1,fTbl5[[#This Row],[pipe2]]-fTbl5[[#This Row],[pipe1]]-1),LEFT(fTbl5[[#This Row],[Hierarchy]],FIND("|",fTbl5[[#This Row],[Hierarchy]])-1)),"")</f>
        <v>Products</v>
      </c>
      <c r="L20" s="1">
        <f ca="1">IF(ROW()=3,0,OFFSET(fTbl5[[#This Row],[Lev]],-1,0)+IF(OFFSET(fTbl5[[#This Row],[LT]],-1,0)="H",1,IF(fTbl5[[#This Row],[LT]]="!H",-1,0)))</f>
        <v>1</v>
      </c>
      <c r="M20">
        <f>IF(RIGHT(fTbl5[[#This Row],[valid]],4)&lt;&gt;"list",0,IFERROR(MATCH(fTbl5[[#This Row],[Context]]&amp;"|"&amp;fTbl5[[#This Row],[Field]],Ltbl[ind],0),IFERROR(MATCH("ALL|"&amp;fTbl5[[#This Row],[Field]],Ltbl[ind],0),-1)))</f>
        <v>0</v>
      </c>
      <c r="N20" t="str" cm="1">
        <f t="array" ref="N20">IF(fTbl5[[#This Row],[listlu]]&lt;1,"",IF(INDEX(Ltbl[Generic],fTbl5[[#This Row],[listlu]])="","",INDEX(Ltbl[Generic],fTbl5[[#This Row],[listlu]])))</f>
        <v/>
      </c>
      <c r="O20">
        <f>IF(AND(fTbl5[[#This Row],[listlu]],ISERROR(FIND(",",fTbl5[[#This Row],[liMatch]])),fTbl5[[#This Row],[liMatch]]&lt;&gt;""),1,0)</f>
        <v>0</v>
      </c>
      <c r="P20">
        <f>IF(AND(fTbl5[[#This Row],[LT]]="Ref",ISNA(MATCH(fTbl5[[#This Row],[Field]],rTbl[Ref],0))),1,0)</f>
        <v>0</v>
      </c>
      <c r="Q20"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20">
        <f ca="1">FIND("~",SUBSTITUTE(fTbl5[[#This Row],[Hierarchy]],"|","~",1))</f>
        <v>9</v>
      </c>
      <c r="S20" t="e">
        <f ca="1">FIND("~",SUBSTITUTE(fTbl5[[#This Row],[Hierarchy]],"|","~",2))</f>
        <v>#VALUE!</v>
      </c>
      <c r="T20" cm="1">
        <f t="array" ref="T20">IF(fTbl5[[#This Row],[listlu]]=0,0,IF(INDEX(Ltbl[Context],fTbl5[[#This Row],[listlu]],1)="ALL",1,2))</f>
        <v>0</v>
      </c>
    </row>
    <row r="21" spans="1:20">
      <c r="A21" s="15" t="s">
        <v>28</v>
      </c>
      <c r="B21" t="s">
        <v>394</v>
      </c>
      <c r="C21" t="s">
        <v>30</v>
      </c>
      <c r="D21" s="1">
        <v>50</v>
      </c>
      <c r="E21" s="1">
        <v>0</v>
      </c>
      <c r="F21" s="1"/>
      <c r="G21" s="1"/>
      <c r="H21" s="1"/>
      <c r="I21" s="19" t="s">
        <v>395</v>
      </c>
      <c r="J21" s="28" t="s">
        <v>396</v>
      </c>
      <c r="K21" t="str">
        <f ca="1">IFERROR(IF(fTbl5[[#This Row],[LT]]="H",MID(fTbl5[[#This Row],[Hierarchy]],fTbl5[[#This Row],[pipe1]]+1,fTbl5[[#This Row],[pipe2]]-fTbl5[[#This Row],[pipe1]]-1),LEFT(fTbl5[[#This Row],[Hierarchy]],FIND("|",fTbl5[[#This Row],[Hierarchy]])-1)),"")</f>
        <v>Products</v>
      </c>
      <c r="L21" s="1">
        <f ca="1">IF(ROW()=3,0,OFFSET(fTbl5[[#This Row],[Lev]],-1,0)+IF(OFFSET(fTbl5[[#This Row],[LT]],-1,0)="H",1,IF(fTbl5[[#This Row],[LT]]="!H",-1,0)))</f>
        <v>1</v>
      </c>
      <c r="M21">
        <f>IF(RIGHT(fTbl5[[#This Row],[valid]],4)&lt;&gt;"list",0,IFERROR(MATCH(fTbl5[[#This Row],[Context]]&amp;"|"&amp;fTbl5[[#This Row],[Field]],Ltbl[ind],0),IFERROR(MATCH("ALL|"&amp;fTbl5[[#This Row],[Field]],Ltbl[ind],0),-1)))</f>
        <v>0</v>
      </c>
      <c r="N21" t="str" cm="1">
        <f t="array" ref="N21">IF(fTbl5[[#This Row],[listlu]]&lt;1,"",IF(INDEX(Ltbl[Generic],fTbl5[[#This Row],[listlu]])="","",INDEX(Ltbl[Generic],fTbl5[[#This Row],[listlu]])))</f>
        <v/>
      </c>
      <c r="O21">
        <f>IF(AND(fTbl5[[#This Row],[listlu]],ISERROR(FIND(",",fTbl5[[#This Row],[liMatch]])),fTbl5[[#This Row],[liMatch]]&lt;&gt;""),1,0)</f>
        <v>0</v>
      </c>
      <c r="P21">
        <f>IF(AND(fTbl5[[#This Row],[LT]]="Ref",ISNA(MATCH(fTbl5[[#This Row],[Field]],rTbl[Ref],0))),1,0)</f>
        <v>0</v>
      </c>
      <c r="Q21"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21">
        <f ca="1">FIND("~",SUBSTITUTE(fTbl5[[#This Row],[Hierarchy]],"|","~",1))</f>
        <v>9</v>
      </c>
      <c r="S21" t="e">
        <f ca="1">FIND("~",SUBSTITUTE(fTbl5[[#This Row],[Hierarchy]],"|","~",2))</f>
        <v>#VALUE!</v>
      </c>
      <c r="T21" cm="1">
        <f t="array" ref="T21">IF(fTbl5[[#This Row],[listlu]]=0,0,IF(INDEX(Ltbl[Context],fTbl5[[#This Row],[listlu]],1)="ALL",1,2))</f>
        <v>0</v>
      </c>
    </row>
    <row r="22" spans="1:20">
      <c r="A22" s="15" t="s">
        <v>28</v>
      </c>
      <c r="B22" t="s">
        <v>397</v>
      </c>
      <c r="C22" t="s">
        <v>30</v>
      </c>
      <c r="D22" s="1">
        <v>50</v>
      </c>
      <c r="E22" s="1">
        <v>0</v>
      </c>
      <c r="F22" s="1"/>
      <c r="G22" s="1"/>
      <c r="H22" s="1"/>
      <c r="I22" s="19" t="s">
        <v>398</v>
      </c>
      <c r="J22" s="28" t="s">
        <v>399</v>
      </c>
      <c r="K22" t="str">
        <f ca="1">IFERROR(IF(fTbl5[[#This Row],[LT]]="H",MID(fTbl5[[#This Row],[Hierarchy]],fTbl5[[#This Row],[pipe1]]+1,fTbl5[[#This Row],[pipe2]]-fTbl5[[#This Row],[pipe1]]-1),LEFT(fTbl5[[#This Row],[Hierarchy]],FIND("|",fTbl5[[#This Row],[Hierarchy]])-1)),"")</f>
        <v>Products</v>
      </c>
      <c r="L22" s="1">
        <f ca="1">IF(ROW()=3,0,OFFSET(fTbl5[[#This Row],[Lev]],-1,0)+IF(OFFSET(fTbl5[[#This Row],[LT]],-1,0)="H",1,IF(fTbl5[[#This Row],[LT]]="!H",-1,0)))</f>
        <v>1</v>
      </c>
      <c r="M22">
        <f>IF(RIGHT(fTbl5[[#This Row],[valid]],4)&lt;&gt;"list",0,IFERROR(MATCH(fTbl5[[#This Row],[Context]]&amp;"|"&amp;fTbl5[[#This Row],[Field]],Ltbl[ind],0),IFERROR(MATCH("ALL|"&amp;fTbl5[[#This Row],[Field]],Ltbl[ind],0),-1)))</f>
        <v>0</v>
      </c>
      <c r="N22" t="str">
        <f t="array" ref="N22">IF(fTbl5[[#This Row],[listlu]]&lt;1,"",IF(INDEX(Ltbl[Generic],fTbl5[[#This Row],[listlu]])="","",INDEX(Ltbl[Generic],fTbl5[[#This Row],[listlu]])))</f>
        <v/>
      </c>
      <c r="O22">
        <f>IF(AND(fTbl5[[#This Row],[listlu]],ISERROR(FIND(",",fTbl5[[#This Row],[liMatch]])),fTbl5[[#This Row],[liMatch]]&lt;&gt;""),1,0)</f>
        <v>0</v>
      </c>
      <c r="P22">
        <f>IF(AND(fTbl5[[#This Row],[LT]]="Ref",ISNA(MATCH(fTbl5[[#This Row],[Field]],rTbl[Ref],0))),1,0)</f>
        <v>0</v>
      </c>
      <c r="Q22"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22">
        <f ca="1">FIND("~",SUBSTITUTE(fTbl5[[#This Row],[Hierarchy]],"|","~",1))</f>
        <v>9</v>
      </c>
      <c r="S22" t="e">
        <f ca="1">FIND("~",SUBSTITUTE(fTbl5[[#This Row],[Hierarchy]],"|","~",2))</f>
        <v>#VALUE!</v>
      </c>
      <c r="T22" cm="1">
        <f t="array" ref="T22">IF(fTbl5[[#This Row],[listlu]]=0,0,IF(INDEX(Ltbl[Context],fTbl5[[#This Row],[listlu]],1)="ALL",1,2))</f>
        <v>0</v>
      </c>
    </row>
    <row r="23" spans="1:20">
      <c r="A23" s="15" t="s">
        <v>28</v>
      </c>
      <c r="B23" t="s">
        <v>400</v>
      </c>
      <c r="C23" t="s">
        <v>30</v>
      </c>
      <c r="D23" s="1">
        <v>12</v>
      </c>
      <c r="E23" s="1" t="s">
        <v>385</v>
      </c>
      <c r="F23" s="1"/>
      <c r="G23" s="1"/>
      <c r="H23" s="1"/>
      <c r="I23" s="19" t="s">
        <v>401</v>
      </c>
      <c r="J23" s="28">
        <v>83783298</v>
      </c>
      <c r="K23" t="str">
        <f ca="1">IFERROR(IF(fTbl5[[#This Row],[LT]]="H",MID(fTbl5[[#This Row],[Hierarchy]],fTbl5[[#This Row],[pipe1]]+1,fTbl5[[#This Row],[pipe2]]-fTbl5[[#This Row],[pipe1]]-1),LEFT(fTbl5[[#This Row],[Hierarchy]],FIND("|",fTbl5[[#This Row],[Hierarchy]])-1)),"")</f>
        <v>Products</v>
      </c>
      <c r="L23" s="1">
        <f ca="1">IF(ROW()=3,0,OFFSET(fTbl5[[#This Row],[Lev]],-1,0)+IF(OFFSET(fTbl5[[#This Row],[LT]],-1,0)="H",1,IF(fTbl5[[#This Row],[LT]]="!H",-1,0)))</f>
        <v>1</v>
      </c>
      <c r="M23">
        <f>IF(RIGHT(fTbl5[[#This Row],[valid]],4)&lt;&gt;"list",0,IFERROR(MATCH(fTbl5[[#This Row],[Context]]&amp;"|"&amp;fTbl5[[#This Row],[Field]],Ltbl[ind],0),IFERROR(MATCH("ALL|"&amp;fTbl5[[#This Row],[Field]],Ltbl[ind],0),-1)))</f>
        <v>0</v>
      </c>
      <c r="N23" t="str" cm="1">
        <f t="array" ref="N23">IF(fTbl5[[#This Row],[listlu]]&lt;1,"",IF(INDEX(Ltbl[Generic],fTbl5[[#This Row],[listlu]])="","",INDEX(Ltbl[Generic],fTbl5[[#This Row],[listlu]])))</f>
        <v/>
      </c>
      <c r="O23">
        <f>IF(AND(fTbl5[[#This Row],[listlu]],ISERROR(FIND(",",fTbl5[[#This Row],[liMatch]])),fTbl5[[#This Row],[liMatch]]&lt;&gt;""),1,0)</f>
        <v>0</v>
      </c>
      <c r="P23">
        <f>IF(AND(fTbl5[[#This Row],[LT]]="Ref",ISNA(MATCH(fTbl5[[#This Row],[Field]],rTbl[Ref],0))),1,0)</f>
        <v>0</v>
      </c>
      <c r="Q23"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23">
        <f ca="1">FIND("~",SUBSTITUTE(fTbl5[[#This Row],[Hierarchy]],"|","~",1))</f>
        <v>9</v>
      </c>
      <c r="S23" t="e">
        <f ca="1">FIND("~",SUBSTITUTE(fTbl5[[#This Row],[Hierarchy]],"|","~",2))</f>
        <v>#VALUE!</v>
      </c>
      <c r="T23" cm="1">
        <f t="array" ref="T23">IF(fTbl5[[#This Row],[listlu]]=0,0,IF(INDEX(Ltbl[Context],fTbl5[[#This Row],[listlu]],1)="ALL",1,2))</f>
        <v>0</v>
      </c>
    </row>
    <row r="24" spans="1:20">
      <c r="A24" s="15" t="s">
        <v>28</v>
      </c>
      <c r="B24" t="s">
        <v>402</v>
      </c>
      <c r="C24" t="s">
        <v>133</v>
      </c>
      <c r="D24" s="1"/>
      <c r="E24" s="1">
        <v>0</v>
      </c>
      <c r="F24" s="1"/>
      <c r="G24" s="1"/>
      <c r="H24" s="1"/>
      <c r="I24" s="19" t="s">
        <v>403</v>
      </c>
      <c r="J24" s="28" t="s">
        <v>404</v>
      </c>
      <c r="K24" t="str">
        <f ca="1">IFERROR(IF(fTbl5[[#This Row],[LT]]="H",MID(fTbl5[[#This Row],[Hierarchy]],fTbl5[[#This Row],[pipe1]]+1,fTbl5[[#This Row],[pipe2]]-fTbl5[[#This Row],[pipe1]]-1),LEFT(fTbl5[[#This Row],[Hierarchy]],FIND("|",fTbl5[[#This Row],[Hierarchy]])-1)),"")</f>
        <v>Products</v>
      </c>
      <c r="L24" s="1">
        <f ca="1">IF(ROW()=3,0,OFFSET(fTbl5[[#This Row],[Lev]],-1,0)+IF(OFFSET(fTbl5[[#This Row],[LT]],-1,0)="H",1,IF(fTbl5[[#This Row],[LT]]="!H",-1,0)))</f>
        <v>1</v>
      </c>
      <c r="M24">
        <f>IF(RIGHT(fTbl5[[#This Row],[valid]],4)&lt;&gt;"list",0,IFERROR(MATCH(fTbl5[[#This Row],[Context]]&amp;"|"&amp;fTbl5[[#This Row],[Field]],Ltbl[ind],0),IFERROR(MATCH("ALL|"&amp;fTbl5[[#This Row],[Field]],Ltbl[ind],0),-1)))</f>
        <v>0</v>
      </c>
      <c r="N24" t="str" cm="1">
        <f t="array" ref="N24">IF(fTbl5[[#This Row],[listlu]]&lt;1,"",IF(INDEX(Ltbl[Generic],fTbl5[[#This Row],[listlu]])="","",INDEX(Ltbl[Generic],fTbl5[[#This Row],[listlu]])))</f>
        <v/>
      </c>
      <c r="O24">
        <f>IF(AND(fTbl5[[#This Row],[listlu]],ISERROR(FIND(",",fTbl5[[#This Row],[liMatch]])),fTbl5[[#This Row],[liMatch]]&lt;&gt;""),1,0)</f>
        <v>0</v>
      </c>
      <c r="P24">
        <f>IF(AND(fTbl5[[#This Row],[LT]]="Ref",ISNA(MATCH(fTbl5[[#This Row],[Field]],rTbl[Ref],0))),1,0)</f>
        <v>0</v>
      </c>
      <c r="Q24"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24">
        <f ca="1">FIND("~",SUBSTITUTE(fTbl5[[#This Row],[Hierarchy]],"|","~",1))</f>
        <v>9</v>
      </c>
      <c r="S24" t="e">
        <f ca="1">FIND("~",SUBSTITUTE(fTbl5[[#This Row],[Hierarchy]],"|","~",2))</f>
        <v>#VALUE!</v>
      </c>
      <c r="T24" cm="1">
        <f t="array" ref="T24">IF(fTbl5[[#This Row],[listlu]]=0,0,IF(INDEX(Ltbl[Context],fTbl5[[#This Row],[listlu]],1)="ALL",1,2))</f>
        <v>0</v>
      </c>
    </row>
    <row r="25" spans="1:20">
      <c r="A25" s="15" t="s">
        <v>28</v>
      </c>
      <c r="B25" t="s">
        <v>405</v>
      </c>
      <c r="C25" t="s">
        <v>30</v>
      </c>
      <c r="D25" s="1">
        <v>2</v>
      </c>
      <c r="E25" s="1">
        <v>1</v>
      </c>
      <c r="F25" s="1"/>
      <c r="G25" s="1"/>
      <c r="H25" s="1"/>
      <c r="I25" s="19" t="s">
        <v>406</v>
      </c>
      <c r="J25" s="28" t="s">
        <v>407</v>
      </c>
      <c r="K25" t="str">
        <f ca="1">IFERROR(IF(fTbl5[[#This Row],[LT]]="H",MID(fTbl5[[#This Row],[Hierarchy]],fTbl5[[#This Row],[pipe1]]+1,fTbl5[[#This Row],[pipe2]]-fTbl5[[#This Row],[pipe1]]-1),LEFT(fTbl5[[#This Row],[Hierarchy]],FIND("|",fTbl5[[#This Row],[Hierarchy]])-1)),"")</f>
        <v>Products</v>
      </c>
      <c r="L25" s="1">
        <f ca="1">IF(ROW()=3,0,OFFSET(fTbl5[[#This Row],[Lev]],-1,0)+IF(OFFSET(fTbl5[[#This Row],[LT]],-1,0)="H",1,IF(fTbl5[[#This Row],[LT]]="!H",-1,0)))</f>
        <v>1</v>
      </c>
      <c r="M25">
        <f>IF(RIGHT(fTbl5[[#This Row],[valid]],4)&lt;&gt;"list",0,IFERROR(MATCH(fTbl5[[#This Row],[Context]]&amp;"|"&amp;fTbl5[[#This Row],[Field]],Ltbl[ind],0),IFERROR(MATCH("ALL|"&amp;fTbl5[[#This Row],[Field]],Ltbl[ind],0),-1)))</f>
        <v>0</v>
      </c>
      <c r="N25" t="str" cm="1">
        <f t="array" ref="N25">IF(fTbl5[[#This Row],[listlu]]&lt;1,"",IF(INDEX(Ltbl[Generic],fTbl5[[#This Row],[listlu]])="","",INDEX(Ltbl[Generic],fTbl5[[#This Row],[listlu]])))</f>
        <v/>
      </c>
      <c r="O25">
        <f>IF(AND(fTbl5[[#This Row],[listlu]],ISERROR(FIND(",",fTbl5[[#This Row],[liMatch]])),fTbl5[[#This Row],[liMatch]]&lt;&gt;""),1,0)</f>
        <v>0</v>
      </c>
      <c r="P25">
        <f>IF(AND(fTbl5[[#This Row],[LT]]="Ref",ISNA(MATCH(fTbl5[[#This Row],[Field]],rTbl[Ref],0))),1,0)</f>
        <v>0</v>
      </c>
      <c r="Q25"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25">
        <f ca="1">FIND("~",SUBSTITUTE(fTbl5[[#This Row],[Hierarchy]],"|","~",1))</f>
        <v>9</v>
      </c>
      <c r="S25" t="e">
        <f ca="1">FIND("~",SUBSTITUTE(fTbl5[[#This Row],[Hierarchy]],"|","~",2))</f>
        <v>#VALUE!</v>
      </c>
      <c r="T25" cm="1">
        <f t="array" ref="T25">IF(fTbl5[[#This Row],[listlu]]=0,0,IF(INDEX(Ltbl[Context],fTbl5[[#This Row],[listlu]],1)="ALL",1,2))</f>
        <v>0</v>
      </c>
    </row>
    <row r="26" spans="1:20">
      <c r="A26" s="15" t="s">
        <v>28</v>
      </c>
      <c r="B26" t="s">
        <v>408</v>
      </c>
      <c r="C26" t="s">
        <v>84</v>
      </c>
      <c r="D26" s="1"/>
      <c r="E26" s="1">
        <v>1</v>
      </c>
      <c r="F26" s="1"/>
      <c r="G26" s="1"/>
      <c r="H26" s="1"/>
      <c r="I26" s="19" t="s">
        <v>409</v>
      </c>
      <c r="J26" s="28" t="s">
        <v>86</v>
      </c>
      <c r="K26" t="str">
        <f ca="1">IFERROR(IF(fTbl5[[#This Row],[LT]]="H",MID(fTbl5[[#This Row],[Hierarchy]],fTbl5[[#This Row],[pipe1]]+1,fTbl5[[#This Row],[pipe2]]-fTbl5[[#This Row],[pipe1]]-1),LEFT(fTbl5[[#This Row],[Hierarchy]],FIND("|",fTbl5[[#This Row],[Hierarchy]])-1)),"")</f>
        <v>Products</v>
      </c>
      <c r="L26" s="1">
        <f ca="1">IF(ROW()=3,0,OFFSET(fTbl5[[#This Row],[Lev]],-1,0)+IF(OFFSET(fTbl5[[#This Row],[LT]],-1,0)="H",1,IF(fTbl5[[#This Row],[LT]]="!H",-1,0)))</f>
        <v>1</v>
      </c>
      <c r="M26">
        <f>IF(RIGHT(fTbl5[[#This Row],[valid]],4)&lt;&gt;"list",0,IFERROR(MATCH(fTbl5[[#This Row],[Context]]&amp;"|"&amp;fTbl5[[#This Row],[Field]],Ltbl[ind],0),IFERROR(MATCH("ALL|"&amp;fTbl5[[#This Row],[Field]],Ltbl[ind],0),-1)))</f>
        <v>0</v>
      </c>
      <c r="N26" t="str" cm="1">
        <f t="array" ref="N26">IF(fTbl5[[#This Row],[listlu]]&lt;1,"",IF(INDEX(Ltbl[Generic],fTbl5[[#This Row],[listlu]])="","",INDEX(Ltbl[Generic],fTbl5[[#This Row],[listlu]])))</f>
        <v/>
      </c>
      <c r="O26">
        <f>IF(AND(fTbl5[[#This Row],[listlu]],ISERROR(FIND(",",fTbl5[[#This Row],[liMatch]])),fTbl5[[#This Row],[liMatch]]&lt;&gt;""),1,0)</f>
        <v>0</v>
      </c>
      <c r="P26">
        <f>IF(AND(fTbl5[[#This Row],[LT]]="Ref",ISNA(MATCH(fTbl5[[#This Row],[Field]],rTbl[Ref],0))),1,0)</f>
        <v>0</v>
      </c>
      <c r="Q26"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26">
        <f ca="1">FIND("~",SUBSTITUTE(fTbl5[[#This Row],[Hierarchy]],"|","~",1))</f>
        <v>9</v>
      </c>
      <c r="S26" t="e">
        <f ca="1">FIND("~",SUBSTITUTE(fTbl5[[#This Row],[Hierarchy]],"|","~",2))</f>
        <v>#VALUE!</v>
      </c>
      <c r="T26" cm="1">
        <f t="array" ref="T26">IF(fTbl5[[#This Row],[listlu]]=0,0,IF(INDEX(Ltbl[Context],fTbl5[[#This Row],[listlu]],1)="ALL",1,2))</f>
        <v>0</v>
      </c>
    </row>
    <row r="27" spans="1:20">
      <c r="A27" s="15" t="s">
        <v>28</v>
      </c>
      <c r="B27" t="s">
        <v>410</v>
      </c>
      <c r="C27" t="s">
        <v>84</v>
      </c>
      <c r="D27" s="1"/>
      <c r="E27" s="1">
        <v>1</v>
      </c>
      <c r="F27" s="1"/>
      <c r="G27" s="1"/>
      <c r="H27" s="1"/>
      <c r="I27" s="19" t="s">
        <v>411</v>
      </c>
      <c r="J27" s="28">
        <v>0</v>
      </c>
      <c r="K27" t="str">
        <f ca="1">IFERROR(IF(fTbl5[[#This Row],[LT]]="H",MID(fTbl5[[#This Row],[Hierarchy]],fTbl5[[#This Row],[pipe1]]+1,fTbl5[[#This Row],[pipe2]]-fTbl5[[#This Row],[pipe1]]-1),LEFT(fTbl5[[#This Row],[Hierarchy]],FIND("|",fTbl5[[#This Row],[Hierarchy]])-1)),"")</f>
        <v>Products</v>
      </c>
      <c r="L27" s="1">
        <f ca="1">IF(ROW()=3,0,OFFSET(fTbl5[[#This Row],[Lev]],-1,0)+IF(OFFSET(fTbl5[[#This Row],[LT]],-1,0)="H",1,IF(fTbl5[[#This Row],[LT]]="!H",-1,0)))</f>
        <v>1</v>
      </c>
      <c r="M27">
        <f>IF(RIGHT(fTbl5[[#This Row],[valid]],4)&lt;&gt;"list",0,IFERROR(MATCH(fTbl5[[#This Row],[Context]]&amp;"|"&amp;fTbl5[[#This Row],[Field]],Ltbl[ind],0),IFERROR(MATCH("ALL|"&amp;fTbl5[[#This Row],[Field]],Ltbl[ind],0),-1)))</f>
        <v>0</v>
      </c>
      <c r="N27" t="str" cm="1">
        <f t="array" ref="N27">IF(fTbl5[[#This Row],[listlu]]&lt;1,"",IF(INDEX(Ltbl[Generic],fTbl5[[#This Row],[listlu]])="","",INDEX(Ltbl[Generic],fTbl5[[#This Row],[listlu]])))</f>
        <v/>
      </c>
      <c r="O27">
        <f>IF(AND(fTbl5[[#This Row],[listlu]],ISERROR(FIND(",",fTbl5[[#This Row],[liMatch]])),fTbl5[[#This Row],[liMatch]]&lt;&gt;""),1,0)</f>
        <v>0</v>
      </c>
      <c r="P27">
        <f>IF(AND(fTbl5[[#This Row],[LT]]="Ref",ISNA(MATCH(fTbl5[[#This Row],[Field]],rTbl[Ref],0))),1,0)</f>
        <v>0</v>
      </c>
      <c r="Q27"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27">
        <f ca="1">FIND("~",SUBSTITUTE(fTbl5[[#This Row],[Hierarchy]],"|","~",1))</f>
        <v>9</v>
      </c>
      <c r="S27" t="e">
        <f ca="1">FIND("~",SUBSTITUTE(fTbl5[[#This Row],[Hierarchy]],"|","~",2))</f>
        <v>#VALUE!</v>
      </c>
      <c r="T27" cm="1">
        <f t="array" ref="T27">IF(fTbl5[[#This Row],[listlu]]=0,0,IF(INDEX(Ltbl[Context],fTbl5[[#This Row],[listlu]],1)="ALL",1,2))</f>
        <v>0</v>
      </c>
    </row>
    <row r="28" spans="1:20">
      <c r="A28" s="15" t="s">
        <v>28</v>
      </c>
      <c r="B28" t="s">
        <v>412</v>
      </c>
      <c r="C28" t="s">
        <v>84</v>
      </c>
      <c r="D28" s="1"/>
      <c r="E28" s="1">
        <v>1</v>
      </c>
      <c r="F28" s="1"/>
      <c r="G28" s="1"/>
      <c r="H28" s="1"/>
      <c r="I28" s="19" t="s">
        <v>413</v>
      </c>
      <c r="J28" s="28">
        <v>0</v>
      </c>
      <c r="K28" t="str">
        <f ca="1">IFERROR(IF(fTbl5[[#This Row],[LT]]="H",MID(fTbl5[[#This Row],[Hierarchy]],fTbl5[[#This Row],[pipe1]]+1,fTbl5[[#This Row],[pipe2]]-fTbl5[[#This Row],[pipe1]]-1),LEFT(fTbl5[[#This Row],[Hierarchy]],FIND("|",fTbl5[[#This Row],[Hierarchy]])-1)),"")</f>
        <v>Products</v>
      </c>
      <c r="L28" s="1">
        <f ca="1">IF(ROW()=3,0,OFFSET(fTbl5[[#This Row],[Lev]],-1,0)+IF(OFFSET(fTbl5[[#This Row],[LT]],-1,0)="H",1,IF(fTbl5[[#This Row],[LT]]="!H",-1,0)))</f>
        <v>1</v>
      </c>
      <c r="M28">
        <f>IF(RIGHT(fTbl5[[#This Row],[valid]],4)&lt;&gt;"list",0,IFERROR(MATCH(fTbl5[[#This Row],[Context]]&amp;"|"&amp;fTbl5[[#This Row],[Field]],Ltbl[ind],0),IFERROR(MATCH("ALL|"&amp;fTbl5[[#This Row],[Field]],Ltbl[ind],0),-1)))</f>
        <v>0</v>
      </c>
      <c r="N28" t="str" cm="1">
        <f t="array" ref="N28">IF(fTbl5[[#This Row],[listlu]]&lt;1,"",IF(INDEX(Ltbl[Generic],fTbl5[[#This Row],[listlu]])="","",INDEX(Ltbl[Generic],fTbl5[[#This Row],[listlu]])))</f>
        <v/>
      </c>
      <c r="O28">
        <f>IF(AND(fTbl5[[#This Row],[listlu]],ISERROR(FIND(",",fTbl5[[#This Row],[liMatch]])),fTbl5[[#This Row],[liMatch]]&lt;&gt;""),1,0)</f>
        <v>0</v>
      </c>
      <c r="P28">
        <f>IF(AND(fTbl5[[#This Row],[LT]]="Ref",ISNA(MATCH(fTbl5[[#This Row],[Field]],rTbl[Ref],0))),1,0)</f>
        <v>0</v>
      </c>
      <c r="Q28"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28">
        <f ca="1">FIND("~",SUBSTITUTE(fTbl5[[#This Row],[Hierarchy]],"|","~",1))</f>
        <v>9</v>
      </c>
      <c r="S28" t="e">
        <f ca="1">FIND("~",SUBSTITUTE(fTbl5[[#This Row],[Hierarchy]],"|","~",2))</f>
        <v>#VALUE!</v>
      </c>
      <c r="T28" cm="1">
        <f t="array" ref="T28">IF(fTbl5[[#This Row],[listlu]]=0,0,IF(INDEX(Ltbl[Context],fTbl5[[#This Row],[listlu]],1)="ALL",1,2))</f>
        <v>0</v>
      </c>
    </row>
    <row r="29" spans="1:20">
      <c r="A29" s="15" t="s">
        <v>28</v>
      </c>
      <c r="B29" t="s">
        <v>414</v>
      </c>
      <c r="C29" t="s">
        <v>84</v>
      </c>
      <c r="D29" s="1"/>
      <c r="E29" s="1">
        <v>1</v>
      </c>
      <c r="F29" s="1"/>
      <c r="G29" s="1"/>
      <c r="H29" s="1"/>
      <c r="I29" s="19" t="s">
        <v>415</v>
      </c>
      <c r="J29" s="28">
        <v>0</v>
      </c>
      <c r="K29" t="str">
        <f ca="1">IFERROR(IF(fTbl5[[#This Row],[LT]]="H",MID(fTbl5[[#This Row],[Hierarchy]],fTbl5[[#This Row],[pipe1]]+1,fTbl5[[#This Row],[pipe2]]-fTbl5[[#This Row],[pipe1]]-1),LEFT(fTbl5[[#This Row],[Hierarchy]],FIND("|",fTbl5[[#This Row],[Hierarchy]])-1)),"")</f>
        <v>Products</v>
      </c>
      <c r="L29" s="1">
        <f ca="1">IF(ROW()=3,0,OFFSET(fTbl5[[#This Row],[Lev]],-1,0)+IF(OFFSET(fTbl5[[#This Row],[LT]],-1,0)="H",1,IF(fTbl5[[#This Row],[LT]]="!H",-1,0)))</f>
        <v>1</v>
      </c>
      <c r="M29">
        <f>IF(RIGHT(fTbl5[[#This Row],[valid]],4)&lt;&gt;"list",0,IFERROR(MATCH(fTbl5[[#This Row],[Context]]&amp;"|"&amp;fTbl5[[#This Row],[Field]],Ltbl[ind],0),IFERROR(MATCH("ALL|"&amp;fTbl5[[#This Row],[Field]],Ltbl[ind],0),-1)))</f>
        <v>0</v>
      </c>
      <c r="N29" t="str" cm="1">
        <f t="array" ref="N29">IF(fTbl5[[#This Row],[listlu]]&lt;1,"",IF(INDEX(Ltbl[Generic],fTbl5[[#This Row],[listlu]])="","",INDEX(Ltbl[Generic],fTbl5[[#This Row],[listlu]])))</f>
        <v/>
      </c>
      <c r="O29">
        <f>IF(AND(fTbl5[[#This Row],[listlu]],ISERROR(FIND(",",fTbl5[[#This Row],[liMatch]])),fTbl5[[#This Row],[liMatch]]&lt;&gt;""),1,0)</f>
        <v>0</v>
      </c>
      <c r="P29">
        <f>IF(AND(fTbl5[[#This Row],[LT]]="Ref",ISNA(MATCH(fTbl5[[#This Row],[Field]],rTbl[Ref],0))),1,0)</f>
        <v>0</v>
      </c>
      <c r="Q29"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29">
        <f ca="1">FIND("~",SUBSTITUTE(fTbl5[[#This Row],[Hierarchy]],"|","~",1))</f>
        <v>9</v>
      </c>
      <c r="S29" t="e">
        <f ca="1">FIND("~",SUBSTITUTE(fTbl5[[#This Row],[Hierarchy]],"|","~",2))</f>
        <v>#VALUE!</v>
      </c>
      <c r="T29" cm="1">
        <f t="array" ref="T29">IF(fTbl5[[#This Row],[listlu]]=0,0,IF(INDEX(Ltbl[Context],fTbl5[[#This Row],[listlu]],1)="ALL",1,2))</f>
        <v>0</v>
      </c>
    </row>
    <row r="30" spans="1:20">
      <c r="A30" s="15" t="s">
        <v>28</v>
      </c>
      <c r="B30" t="s">
        <v>328</v>
      </c>
      <c r="C30" t="s">
        <v>84</v>
      </c>
      <c r="D30" s="1"/>
      <c r="E30" s="1">
        <v>0</v>
      </c>
      <c r="F30" s="1"/>
      <c r="G30" s="1"/>
      <c r="H30" s="1"/>
      <c r="I30" s="19" t="s">
        <v>416</v>
      </c>
      <c r="J30" s="28" t="s">
        <v>417</v>
      </c>
      <c r="K30" t="str">
        <f ca="1">IFERROR(IF(fTbl5[[#This Row],[LT]]="H",MID(fTbl5[[#This Row],[Hierarchy]],fTbl5[[#This Row],[pipe1]]+1,fTbl5[[#This Row],[pipe2]]-fTbl5[[#This Row],[pipe1]]-1),LEFT(fTbl5[[#This Row],[Hierarchy]],FIND("|",fTbl5[[#This Row],[Hierarchy]])-1)),"")</f>
        <v>Products</v>
      </c>
      <c r="L30" s="1">
        <f ca="1">IF(ROW()=3,0,OFFSET(fTbl5[[#This Row],[Lev]],-1,0)+IF(OFFSET(fTbl5[[#This Row],[LT]],-1,0)="H",1,IF(fTbl5[[#This Row],[LT]]="!H",-1,0)))</f>
        <v>1</v>
      </c>
      <c r="M30">
        <f>IF(RIGHT(fTbl5[[#This Row],[valid]],4)&lt;&gt;"list",0,IFERROR(MATCH(fTbl5[[#This Row],[Context]]&amp;"|"&amp;fTbl5[[#This Row],[Field]],Ltbl[ind],0),IFERROR(MATCH("ALL|"&amp;fTbl5[[#This Row],[Field]],Ltbl[ind],0),-1)))</f>
        <v>0</v>
      </c>
      <c r="N30" t="str" cm="1">
        <f t="array" ref="N30">IF(fTbl5[[#This Row],[listlu]]&lt;1,"",IF(INDEX(Ltbl[Generic],fTbl5[[#This Row],[listlu]])="","",INDEX(Ltbl[Generic],fTbl5[[#This Row],[listlu]])))</f>
        <v/>
      </c>
      <c r="O30">
        <f>IF(AND(fTbl5[[#This Row],[listlu]],ISERROR(FIND(",",fTbl5[[#This Row],[liMatch]])),fTbl5[[#This Row],[liMatch]]&lt;&gt;""),1,0)</f>
        <v>0</v>
      </c>
      <c r="P30">
        <f>IF(AND(fTbl5[[#This Row],[LT]]="Ref",ISNA(MATCH(fTbl5[[#This Row],[Field]],rTbl[Ref],0))),1,0)</f>
        <v>0</v>
      </c>
      <c r="Q30"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30">
        <f ca="1">FIND("~",SUBSTITUTE(fTbl5[[#This Row],[Hierarchy]],"|","~",1))</f>
        <v>9</v>
      </c>
      <c r="S30" t="e">
        <f ca="1">FIND("~",SUBSTITUTE(fTbl5[[#This Row],[Hierarchy]],"|","~",2))</f>
        <v>#VALUE!</v>
      </c>
      <c r="T30" cm="1">
        <f t="array" ref="T30">IF(fTbl5[[#This Row],[listlu]]=0,0,IF(INDEX(Ltbl[Context],fTbl5[[#This Row],[listlu]],1)="ALL",1,2))</f>
        <v>0</v>
      </c>
    </row>
    <row r="31" spans="1:20">
      <c r="A31" s="15" t="s">
        <v>123</v>
      </c>
      <c r="B31" t="s">
        <v>418</v>
      </c>
      <c r="D31" s="1"/>
      <c r="E31" s="1">
        <v>0</v>
      </c>
      <c r="F31" s="1">
        <v>1</v>
      </c>
      <c r="G31" s="1"/>
      <c r="H31" s="1"/>
      <c r="I31" s="19" t="s">
        <v>419</v>
      </c>
      <c r="J31" s="28"/>
      <c r="K31" t="str">
        <f ca="1">IFERROR(IF(fTbl5[[#This Row],[LT]]="H",MID(fTbl5[[#This Row],[Hierarchy]],fTbl5[[#This Row],[pipe1]]+1,fTbl5[[#This Row],[pipe2]]-fTbl5[[#This Row],[pipe1]]-1),LEFT(fTbl5[[#This Row],[Hierarchy]],FIND("|",fTbl5[[#This Row],[Hierarchy]])-1)),"")</f>
        <v>Products</v>
      </c>
      <c r="L31" s="1">
        <f ca="1">IF(ROW()=3,0,OFFSET(fTbl5[[#This Row],[Lev]],-1,0)+IF(OFFSET(fTbl5[[#This Row],[LT]],-1,0)="H",1,IF(fTbl5[[#This Row],[LT]]="!H",-1,0)))</f>
        <v>1</v>
      </c>
      <c r="M31">
        <f>IF(RIGHT(fTbl5[[#This Row],[valid]],4)&lt;&gt;"list",0,IFERROR(MATCH(fTbl5[[#This Row],[Context]]&amp;"|"&amp;fTbl5[[#This Row],[Field]],Ltbl[ind],0),IFERROR(MATCH("ALL|"&amp;fTbl5[[#This Row],[Field]],Ltbl[ind],0),-1)))</f>
        <v>0</v>
      </c>
      <c r="N31" t="str" cm="1">
        <f t="array" ref="N31">IF(fTbl5[[#This Row],[listlu]]&lt;1,"",IF(INDEX(Ltbl[Generic],fTbl5[[#This Row],[listlu]])="","",INDEX(Ltbl[Generic],fTbl5[[#This Row],[listlu]])))</f>
        <v/>
      </c>
      <c r="O31">
        <f>IF(AND(fTbl5[[#This Row],[listlu]],ISERROR(FIND(",",fTbl5[[#This Row],[liMatch]])),fTbl5[[#This Row],[liMatch]]&lt;&gt;""),1,0)</f>
        <v>0</v>
      </c>
      <c r="P31">
        <f>IF(AND(fTbl5[[#This Row],[LT]]="Ref",ISNA(MATCH(fTbl5[[#This Row],[Field]],rTbl[Ref],0))),1,0)</f>
        <v>0</v>
      </c>
      <c r="Q31"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31">
        <f ca="1">FIND("~",SUBSTITUTE(fTbl5[[#This Row],[Hierarchy]],"|","~",1))</f>
        <v>9</v>
      </c>
      <c r="S31" t="e">
        <f ca="1">FIND("~",SUBSTITUTE(fTbl5[[#This Row],[Hierarchy]],"|","~",2))</f>
        <v>#VALUE!</v>
      </c>
      <c r="T31" cm="1">
        <f t="array" ref="T31">IF(fTbl5[[#This Row],[listlu]]=0,0,IF(INDEX(Ltbl[Context],fTbl5[[#This Row],[listlu]],1)="ALL",1,2))</f>
        <v>0</v>
      </c>
    </row>
    <row r="32" spans="1:20">
      <c r="A32" s="15" t="s">
        <v>123</v>
      </c>
      <c r="B32" t="s">
        <v>420</v>
      </c>
      <c r="D32" s="1"/>
      <c r="E32" s="1" t="s">
        <v>385</v>
      </c>
      <c r="F32" s="1" t="s">
        <v>23</v>
      </c>
      <c r="G32" s="1"/>
      <c r="H32" s="1"/>
      <c r="I32" s="19" t="s">
        <v>421</v>
      </c>
      <c r="J32" s="28" t="s">
        <v>422</v>
      </c>
      <c r="K32" t="str">
        <f ca="1">IFERROR(IF(fTbl5[[#This Row],[LT]]="H",MID(fTbl5[[#This Row],[Hierarchy]],fTbl5[[#This Row],[pipe1]]+1,fTbl5[[#This Row],[pipe2]]-fTbl5[[#This Row],[pipe1]]-1),LEFT(fTbl5[[#This Row],[Hierarchy]],FIND("|",fTbl5[[#This Row],[Hierarchy]])-1)),"")</f>
        <v>Products</v>
      </c>
      <c r="L32" s="1">
        <f ca="1">IF(ROW()=3,0,OFFSET(fTbl5[[#This Row],[Lev]],-1,0)+IF(OFFSET(fTbl5[[#This Row],[LT]],-1,0)="H",1,IF(fTbl5[[#This Row],[LT]]="!H",-1,0)))</f>
        <v>1</v>
      </c>
      <c r="M32">
        <f>IF(RIGHT(fTbl5[[#This Row],[valid]],4)&lt;&gt;"list",0,IFERROR(MATCH(fTbl5[[#This Row],[Context]]&amp;"|"&amp;fTbl5[[#This Row],[Field]],Ltbl[ind],0),IFERROR(MATCH("ALL|"&amp;fTbl5[[#This Row],[Field]],Ltbl[ind],0),-1)))</f>
        <v>0</v>
      </c>
      <c r="N32" t="str" cm="1">
        <f t="array" ref="N32">IF(fTbl5[[#This Row],[listlu]]&lt;1,"",IF(INDEX(Ltbl[Generic],fTbl5[[#This Row],[listlu]])="","",INDEX(Ltbl[Generic],fTbl5[[#This Row],[listlu]])))</f>
        <v/>
      </c>
      <c r="O32">
        <f>IF(AND(fTbl5[[#This Row],[listlu]],ISERROR(FIND(",",fTbl5[[#This Row],[liMatch]])),fTbl5[[#This Row],[liMatch]]&lt;&gt;""),1,0)</f>
        <v>0</v>
      </c>
      <c r="P32">
        <f>IF(AND(fTbl5[[#This Row],[LT]]="Ref",ISNA(MATCH(fTbl5[[#This Row],[Field]],rTbl[Ref],0))),1,0)</f>
        <v>0</v>
      </c>
      <c r="Q32" t="str">
        <f ca="1">IF(ROW()=3,IF(fTbl5[[#This Row],[LT]]="H",fTbl5[[#This Row],[Field]]&amp;"|","|"),IF(fTbl5[[#This Row],[LT]]="H",fTbl5[[#This Row],[Field]]&amp;"|"&amp;OFFSET(fTbl5[[#This Row],[Hierarchy]],-1,0),IF(fTbl5[[#This Row],[LT]]&lt;&gt;"!H",OFFSET(fTbl5[[#This Row],[Hierarchy]],-1,0),RIGHT(OFFSET(fTbl5[[#This Row],[Hierarchy]],-1,0),LEN(OFFSET(fTbl5[[#This Row],[Hierarchy]],-1,0))-LEN(fTbl5[[#This Row],[Field]])-1))))</f>
        <v>Products|</v>
      </c>
      <c r="R32">
        <f ca="1">FIND("~",SUBSTITUTE(fTbl5[[#This Row],[Hierarchy]],"|","~",1))</f>
        <v>9</v>
      </c>
      <c r="S32" t="e">
        <f ca="1">FIND("~",SUBSTITUTE(fTbl5[[#This Row],[Hierarchy]],"|","~",2))</f>
        <v>#VALUE!</v>
      </c>
      <c r="T32" cm="1">
        <f t="array" ref="T32">IF(fTbl5[[#This Row],[listlu]]=0,0,IF(INDEX(Ltbl[Context],fTbl5[[#This Row],[listlu]],1)="ALL",1,2))</f>
        <v>0</v>
      </c>
    </row>
    <row r="33" spans="1:20">
      <c r="A33" s="15" t="s">
        <v>177</v>
      </c>
      <c r="B33" t="s">
        <v>365</v>
      </c>
      <c r="D33" s="1"/>
      <c r="E33" s="1"/>
      <c r="F33" s="1"/>
      <c r="G33" s="1"/>
      <c r="H33" s="1"/>
      <c r="I33" s="19"/>
      <c r="J33" s="28"/>
      <c r="K33" t="str">
        <f ca="1">IFERROR(IF(fTbl5[[#This Row],[LT]]="H",MID(fTbl5[[#This Row],[Hierarchy]],fTbl5[[#This Row],[pipe1]]+1,fTbl5[[#This Row],[pipe2]]-fTbl5[[#This Row],[pipe1]]-1),LEFT(fTbl5[[#This Row],[Hierarchy]],FIND("|",fTbl5[[#This Row],[Hierarchy]])-1)),"")</f>
        <v/>
      </c>
      <c r="L33" s="1">
        <f ca="1">IF(ROW()=3,0,OFFSET(fTbl5[[#This Row],[Lev]],-1,0)+IF(OFFSET(fTbl5[[#This Row],[LT]],-1,0)="H",1,IF(fTbl5[[#This Row],[LT]]="!H",-1,0)))</f>
        <v>0</v>
      </c>
      <c r="M33">
        <f>IF(RIGHT(fTbl5[[#This Row],[valid]],4)&lt;&gt;"list",0,IFERROR(MATCH(fTbl5[[#This Row],[Context]]&amp;"|"&amp;fTbl5[[#This Row],[Field]],Ltbl[ind],0),IFERROR(MATCH("ALL|"&amp;fTbl5[[#This Row],[Field]],Ltbl[ind],0),-1)))</f>
        <v>0</v>
      </c>
      <c r="N33" t="str" cm="1">
        <f t="array" ref="N33">IF(fTbl5[[#This Row],[listlu]]&lt;1,"",IF(INDEX(Ltbl[Generic],fTbl5[[#This Row],[listlu]])="","",INDEX(Ltbl[Generic],fTbl5[[#This Row],[listlu]])))</f>
        <v/>
      </c>
      <c r="O33">
        <f>IF(AND(fTbl5[[#This Row],[listlu]],ISERROR(FIND(",",fTbl5[[#This Row],[liMatch]])),fTbl5[[#This Row],[liMatch]]&lt;&gt;""),1,0)</f>
        <v>0</v>
      </c>
      <c r="P33">
        <f>IF(AND(fTbl5[[#This Row],[LT]]="Ref",ISNA(MATCH(fTbl5[[#This Row],[Field]],rTbl[Ref],0))),1,0)</f>
        <v>0</v>
      </c>
      <c r="Q33" t="str">
        <f ca="1">IF(ROW()=3,IF(fTbl5[[#This Row],[LT]]="H",fTbl5[[#This Row],[Field]]&amp;"|","|"),IF(fTbl5[[#This Row],[LT]]="H",fTbl5[[#This Row],[Field]]&amp;"|"&amp;OFFSET(fTbl5[[#This Row],[Hierarchy]],-1,0),IF(fTbl5[[#This Row],[LT]]&lt;&gt;"!H",OFFSET(fTbl5[[#This Row],[Hierarchy]],-1,0),RIGHT(OFFSET(fTbl5[[#This Row],[Hierarchy]],-1,0),LEN(OFFSET(fTbl5[[#This Row],[Hierarchy]],-1,0))-LEN(fTbl5[[#This Row],[Field]])-1))))</f>
        <v/>
      </c>
      <c r="R33" t="e">
        <f ca="1">FIND("~",SUBSTITUTE(fTbl5[[#This Row],[Hierarchy]],"|","~",1))</f>
        <v>#VALUE!</v>
      </c>
      <c r="S33" t="e">
        <f ca="1">FIND("~",SUBSTITUTE(fTbl5[[#This Row],[Hierarchy]],"|","~",2))</f>
        <v>#VALUE!</v>
      </c>
      <c r="T33" cm="1">
        <f t="array" ref="T33">IF(fTbl5[[#This Row],[listlu]]=0,0,IF(INDEX(Ltbl[Context],fTbl5[[#This Row],[listlu]],1)="ALL",1,2))</f>
        <v>0</v>
      </c>
    </row>
  </sheetData>
  <conditionalFormatting sqref="A3:L33">
    <cfRule type="expression" dxfId="195" priority="10">
      <formula>($A3="!H")</formula>
    </cfRule>
    <cfRule type="expression" dxfId="194" priority="11">
      <formula>($A3="REF")</formula>
    </cfRule>
    <cfRule type="expression" dxfId="193" priority="12">
      <formula>($A3="C")</formula>
    </cfRule>
    <cfRule type="expression" dxfId="192" priority="13">
      <formula>($A3="H")</formula>
    </cfRule>
  </conditionalFormatting>
  <conditionalFormatting sqref="I1">
    <cfRule type="cellIs" dxfId="191" priority="6" operator="greaterThan">
      <formula>"@"</formula>
    </cfRule>
  </conditionalFormatting>
  <conditionalFormatting sqref="K3:K33">
    <cfRule type="expression" dxfId="190" priority="8">
      <formula>($A3="C")</formula>
    </cfRule>
    <cfRule type="expression" dxfId="189" priority="9">
      <formula>($A3="")</formula>
    </cfRule>
  </conditionalFormatting>
  <conditionalFormatting sqref="A3:A33">
    <cfRule type="expression" dxfId="188" priority="7">
      <formula>NOT(OR(A3="",A3="H",A3="E",A3="C",A3="!H",A3="Ref"))</formula>
    </cfRule>
  </conditionalFormatting>
  <conditionalFormatting sqref="J3:J33 H3:H33">
    <cfRule type="expression" dxfId="187" priority="5">
      <formula>($O3)</formula>
    </cfRule>
  </conditionalFormatting>
  <conditionalFormatting sqref="H3:H33">
    <cfRule type="expression" dxfId="186" priority="14">
      <formula>AND($M3&gt;0,$N3&lt;&gt;$J3)</formula>
    </cfRule>
    <cfRule type="expression" dxfId="185" priority="15">
      <formula>AND($M3&gt;0,$N3=$J3)</formula>
    </cfRule>
    <cfRule type="expression" dxfId="184" priority="16">
      <formula>($M3=-1)</formula>
    </cfRule>
  </conditionalFormatting>
  <conditionalFormatting sqref="J3:J33">
    <cfRule type="expression" dxfId="183" priority="17">
      <formula>AND(M3&gt;0,N3&lt;&gt;J3)</formula>
    </cfRule>
    <cfRule type="expression" dxfId="182" priority="18">
      <formula>AND($A3="E",$E3&lt;&gt;1)</formula>
    </cfRule>
  </conditionalFormatting>
  <conditionalFormatting sqref="B3:B33">
    <cfRule type="expression" dxfId="181" priority="1">
      <formula>$P3</formula>
    </cfRule>
    <cfRule type="expression" dxfId="180" priority="4">
      <formula>AND($A3="!H",$B3&lt;&gt;OFFSET($K3,-1,0))</formula>
    </cfRule>
    <cfRule type="expression" dxfId="179" priority="19">
      <formula>AND($A3="E",$E3=1)</formula>
    </cfRule>
  </conditionalFormatting>
  <conditionalFormatting sqref="G3:G33">
    <cfRule type="expression" dxfId="178" priority="2">
      <formula>($T3=2)</formula>
    </cfRule>
    <cfRule type="expression" dxfId="177" priority="3">
      <formula>($T3=1)</formula>
    </cfRule>
  </conditionalFormatting>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D9D8-1D7E-4983-ACBA-74CA644E94B6}">
  <sheetPr codeName="Sheet1">
    <tabColor rgb="FFFF66FF"/>
  </sheetPr>
  <dimension ref="A1:T49"/>
  <sheetViews>
    <sheetView topLeftCell="A13" workbookViewId="0">
      <selection activeCell="C32" sqref="C32"/>
    </sheetView>
  </sheetViews>
  <sheetFormatPr defaultRowHeight="15"/>
  <cols>
    <col min="1" max="1" width="14.28515625" customWidth="1"/>
    <col min="3" max="3" width="17" customWidth="1"/>
    <col min="5" max="5" width="6.28515625" customWidth="1"/>
    <col min="6" max="6" width="7.140625" customWidth="1"/>
    <col min="7" max="7" width="6.85546875" customWidth="1"/>
    <col min="8" max="8" width="1" customWidth="1"/>
    <col min="9" max="9" width="7.5703125" customWidth="1"/>
    <col min="10" max="10" width="58.140625" customWidth="1"/>
    <col min="11" max="11" width="34.85546875" customWidth="1"/>
    <col min="12" max="12" width="14.28515625" customWidth="1"/>
    <col min="13" max="13" width="9.140625" customWidth="1"/>
    <col min="14" max="14" width="9.140625" hidden="1" customWidth="1"/>
    <col min="15" max="15" width="3.7109375" hidden="1" customWidth="1"/>
    <col min="16" max="19" width="9.140625" hidden="1" customWidth="1"/>
    <col min="20" max="20" width="40.42578125" customWidth="1"/>
  </cols>
  <sheetData>
    <row r="1" spans="1:20" ht="23.25" customHeight="1"/>
    <row r="2" spans="1:20">
      <c r="A2" s="20" t="s">
        <v>123</v>
      </c>
      <c r="B2" s="14" t="s">
        <v>0</v>
      </c>
      <c r="C2" s="11" t="s">
        <v>1</v>
      </c>
      <c r="D2" s="11" t="s">
        <v>2</v>
      </c>
      <c r="E2" s="12" t="s">
        <v>3</v>
      </c>
      <c r="F2" s="12" t="s">
        <v>4</v>
      </c>
      <c r="G2" s="12" t="s">
        <v>5</v>
      </c>
      <c r="H2" s="12" t="s">
        <v>6</v>
      </c>
      <c r="I2" s="12" t="s">
        <v>7</v>
      </c>
      <c r="J2" s="18" t="s">
        <v>8</v>
      </c>
      <c r="K2" s="17" t="s">
        <v>9</v>
      </c>
      <c r="L2" s="11" t="s">
        <v>10</v>
      </c>
      <c r="M2" s="11" t="s">
        <v>11</v>
      </c>
      <c r="N2" s="13" t="s">
        <v>12</v>
      </c>
      <c r="O2" s="13" t="s">
        <v>13</v>
      </c>
      <c r="P2" s="13" t="s">
        <v>19</v>
      </c>
      <c r="Q2" s="13" t="s">
        <v>16</v>
      </c>
      <c r="R2" s="13" t="s">
        <v>423</v>
      </c>
      <c r="S2" s="13" t="s">
        <v>424</v>
      </c>
      <c r="T2" s="13" t="s">
        <v>425</v>
      </c>
    </row>
    <row r="3" spans="1:20">
      <c r="A3" s="15" t="s">
        <v>142</v>
      </c>
      <c r="B3" s="15" t="s">
        <v>21</v>
      </c>
      <c r="C3" t="s">
        <v>426</v>
      </c>
      <c r="E3" s="1"/>
      <c r="F3" s="1">
        <v>0</v>
      </c>
      <c r="G3" s="1" t="s">
        <v>23</v>
      </c>
      <c r="H3" s="1"/>
      <c r="I3" s="1"/>
      <c r="J3" s="19"/>
      <c r="K3" s="28"/>
      <c r="L3" t="str">
        <f ca="1">IFERROR(IF(rTbl[[#This Row],[LT]]="H",MID(rTbl[[#This Row],[Hierarchy]],rTbl[[#This Row],[Pipe1]]+1,rTbl[[#This Row],[Pipe2]]-rTbl[[#This Row],[Pipe1]]-1),LEFT(rTbl[[#This Row],[Hierarchy]],FIND("|",rTbl[[#This Row],[Hierarchy]])-1)),"")</f>
        <v/>
      </c>
      <c r="M3">
        <f ca="1">IF(ROW()=3,0,OFFSET(rTbl[[#This Row],[Lev]],-1,0)+IF(OFFSET(rTbl[[#This Row],[LT]],-1,0)="H",1,IF(rTbl[[#This Row],[LT]]="!H",-1,0)))</f>
        <v>0</v>
      </c>
      <c r="N3">
        <f>IF(RIGHT(rTbl[[#This Row],[valid]],4)&lt;&gt;"list",0,IFERROR(MATCH(rTbl[[#This Row],[Context]]&amp;"|"&amp;rTbl[[#This Row],[Field]],Ltbl[ind],0),IFERROR(MATCH("ALL|"&amp;rTbl[[#This Row],[Field]],Ltbl[ind],0),-1)))</f>
        <v>0</v>
      </c>
      <c r="O3" t="str" cm="1">
        <f t="array" ref="O3">IF(rTbl[[#This Row],[listlu]]&lt;1,"",IF(INDEX(Ltbl[Generic],rTbl[[#This Row],[listlu]])="","",INDEX(Ltbl[Generic],rTbl[[#This Row],[listlu]])))</f>
        <v/>
      </c>
      <c r="P3" cm="1">
        <f t="array" ref="P3">IF(rTbl[[#This Row],[listlu]]=0,0,IF(INDEX(Ltbl[Context],rTbl[[#This Row],[listlu]],1)="ALL",1,2))</f>
        <v>0</v>
      </c>
      <c r="Q3" t="str">
        <f ca="1">IF(ROW()=3,IF(rTbl[[#This Row],[LT]]="H",rTbl[[#This Row],[Field]]&amp;"|","|"),IF(rTbl[[#This Row],[LT]]="H",rTbl[[#This Row],[Field]]&amp;"|"&amp;OFFSET(rTbl[[#This Row],[Hierarchy]],-1,0),IF(rTbl[[#This Row],[LT]]&lt;&gt;"!H",OFFSET(rTbl[[#This Row],[Hierarchy]],-1,0),RIGHT(OFFSET(rTbl[[#This Row],[Hierarchy]],-1,0),LEN(OFFSET(rTbl[[#This Row],[Hierarchy]],-1,0))-LEN(rTbl[[#This Row],[Field]])-1))))</f>
        <v>Cfields|</v>
      </c>
      <c r="R3">
        <f ca="1">FIND("~",SUBSTITUTE(rTbl[[#This Row],[Hierarchy]],"|","~",1))</f>
        <v>8</v>
      </c>
      <c r="S3" t="e">
        <f ca="1">FIND("~",SUBSTITUTE(rTbl[[#This Row],[Hierarchy]],"|","~",2))</f>
        <v>#VALUE!</v>
      </c>
    </row>
    <row r="4" spans="1:20">
      <c r="A4" s="15" t="s">
        <v>142</v>
      </c>
      <c r="B4" s="15" t="s">
        <v>28</v>
      </c>
      <c r="C4" t="s">
        <v>427</v>
      </c>
      <c r="D4" t="s">
        <v>30</v>
      </c>
      <c r="E4" s="1">
        <v>5</v>
      </c>
      <c r="F4" s="1">
        <v>1</v>
      </c>
      <c r="G4" s="1"/>
      <c r="H4" s="1"/>
      <c r="I4" s="1" t="s">
        <v>31</v>
      </c>
      <c r="J4" s="19" t="s">
        <v>428</v>
      </c>
      <c r="K4" s="28" t="s">
        <v>429</v>
      </c>
      <c r="L4" t="str">
        <f ca="1">IFERROR(IF(rTbl[[#This Row],[LT]]="H",MID(rTbl[[#This Row],[Hierarchy]],rTbl[[#This Row],[Pipe1]]+1,rTbl[[#This Row],[Pipe2]]-rTbl[[#This Row],[Pipe1]]-1),LEFT(rTbl[[#This Row],[Hierarchy]],FIND("|",rTbl[[#This Row],[Hierarchy]])-1)),"")</f>
        <v>Cfields</v>
      </c>
      <c r="M4">
        <f ca="1">IF(ROW()=3,0,OFFSET(rTbl[[#This Row],[Lev]],-1,0)+IF(OFFSET(rTbl[[#This Row],[LT]],-1,0)="H",1,IF(rTbl[[#This Row],[LT]]="!H",-1,0)))</f>
        <v>1</v>
      </c>
      <c r="N4">
        <f ca="1">IF(RIGHT(rTbl[[#This Row],[valid]],4)&lt;&gt;"list",0,IFERROR(MATCH(rTbl[[#This Row],[Context]]&amp;"|"&amp;rTbl[[#This Row],[Field]],Ltbl[ind],0),IFERROR(MATCH("ALL|"&amp;rTbl[[#This Row],[Field]],Ltbl[ind],0),-1)))</f>
        <v>-1</v>
      </c>
      <c r="O4" t="str" cm="1">
        <f t="array" aca="1" ref="O4" ca="1">IF(rTbl[[#This Row],[listlu]]&lt;1,"",IF(INDEX(Ltbl[Generic],rTbl[[#This Row],[listlu]])="","",INDEX(Ltbl[Generic],rTbl[[#This Row],[listlu]])))</f>
        <v/>
      </c>
      <c r="P4" t="e" cm="1">
        <f t="array" aca="1" ref="P4" ca="1">IF(rTbl[[#This Row],[listlu]]=0,0,IF(INDEX(Ltbl[Context],rTbl[[#This Row],[listlu]],1)="ALL",1,2))</f>
        <v>#VALUE!</v>
      </c>
      <c r="Q4" t="str">
        <f ca="1">IF(ROW()=3,IF(rTbl[[#This Row],[LT]]="H",rTbl[[#This Row],[Field]]&amp;"|","|"),IF(rTbl[[#This Row],[LT]]="H",rTbl[[#This Row],[Field]]&amp;"|"&amp;OFFSET(rTbl[[#This Row],[Hierarchy]],-1,0),IF(rTbl[[#This Row],[LT]]&lt;&gt;"!H",OFFSET(rTbl[[#This Row],[Hierarchy]],-1,0),RIGHT(OFFSET(rTbl[[#This Row],[Hierarchy]],-1,0),LEN(OFFSET(rTbl[[#This Row],[Hierarchy]],-1,0))-LEN(rTbl[[#This Row],[Field]])-1))))</f>
        <v>Cfields|</v>
      </c>
      <c r="R4">
        <f ca="1">FIND("~",SUBSTITUTE(rTbl[[#This Row],[Hierarchy]],"|","~",1))</f>
        <v>8</v>
      </c>
      <c r="S4" t="e">
        <f ca="1">FIND("~",SUBSTITUTE(rTbl[[#This Row],[Hierarchy]],"|","~",2))</f>
        <v>#VALUE!</v>
      </c>
    </row>
    <row r="5" spans="1:20">
      <c r="A5" s="15" t="s">
        <v>142</v>
      </c>
      <c r="B5" s="15" t="s">
        <v>28</v>
      </c>
      <c r="C5" t="s">
        <v>1</v>
      </c>
      <c r="D5" t="s">
        <v>30</v>
      </c>
      <c r="E5" s="1">
        <v>15</v>
      </c>
      <c r="F5" s="1">
        <v>1</v>
      </c>
      <c r="G5" s="1"/>
      <c r="H5" s="1"/>
      <c r="I5" s="1"/>
      <c r="J5" s="19" t="s">
        <v>430</v>
      </c>
      <c r="K5" s="28" t="s">
        <v>431</v>
      </c>
      <c r="L5" t="str">
        <f ca="1">IFERROR(IF(rTbl[[#This Row],[LT]]="H",MID(rTbl[[#This Row],[Hierarchy]],rTbl[[#This Row],[Pipe1]]+1,rTbl[[#This Row],[Pipe2]]-rTbl[[#This Row],[Pipe1]]-1),LEFT(rTbl[[#This Row],[Hierarchy]],FIND("|",rTbl[[#This Row],[Hierarchy]])-1)),"")</f>
        <v>Cfields</v>
      </c>
      <c r="M5">
        <f ca="1">IF(ROW()=3,0,OFFSET(rTbl[[#This Row],[Lev]],-1,0)+IF(OFFSET(rTbl[[#This Row],[LT]],-1,0)="H",1,IF(rTbl[[#This Row],[LT]]="!H",-1,0)))</f>
        <v>1</v>
      </c>
      <c r="N5">
        <f>IF(RIGHT(rTbl[[#This Row],[valid]],4)&lt;&gt;"list",0,IFERROR(MATCH(rTbl[[#This Row],[Context]]&amp;"|"&amp;rTbl[[#This Row],[Field]],Ltbl[ind],0),IFERROR(MATCH("ALL|"&amp;rTbl[[#This Row],[Field]],Ltbl[ind],0),-1)))</f>
        <v>0</v>
      </c>
      <c r="O5" t="str" cm="1">
        <f t="array" ref="O5">IF(rTbl[[#This Row],[listlu]]&lt;1,"",IF(INDEX(Ltbl[Generic],rTbl[[#This Row],[listlu]])="","",INDEX(Ltbl[Generic],rTbl[[#This Row],[listlu]])))</f>
        <v/>
      </c>
      <c r="P5" cm="1">
        <f t="array" ref="P5">IF(rTbl[[#This Row],[listlu]]=0,0,IF(INDEX(Ltbl[Context],rTbl[[#This Row],[listlu]],1)="ALL",1,2))</f>
        <v>0</v>
      </c>
      <c r="Q5" t="str">
        <f ca="1">IF(ROW()=3,IF(rTbl[[#This Row],[LT]]="H",rTbl[[#This Row],[Field]]&amp;"|","|"),IF(rTbl[[#This Row],[LT]]="H",rTbl[[#This Row],[Field]]&amp;"|"&amp;OFFSET(rTbl[[#This Row],[Hierarchy]],-1,0),IF(rTbl[[#This Row],[LT]]&lt;&gt;"!H",OFFSET(rTbl[[#This Row],[Hierarchy]],-1,0),RIGHT(OFFSET(rTbl[[#This Row],[Hierarchy]],-1,0),LEN(OFFSET(rTbl[[#This Row],[Hierarchy]],-1,0))-LEN(rTbl[[#This Row],[Field]])-1))))</f>
        <v>Cfields|</v>
      </c>
      <c r="R5">
        <f ca="1">FIND("~",SUBSTITUTE(rTbl[[#This Row],[Hierarchy]],"|","~",1))</f>
        <v>8</v>
      </c>
      <c r="S5" t="e">
        <f ca="1">FIND("~",SUBSTITUTE(rTbl[[#This Row],[Hierarchy]],"|","~",2))</f>
        <v>#VALUE!</v>
      </c>
    </row>
    <row r="6" spans="1:20">
      <c r="A6" s="15" t="s">
        <v>142</v>
      </c>
      <c r="B6" s="15" t="s">
        <v>28</v>
      </c>
      <c r="C6" t="s">
        <v>432</v>
      </c>
      <c r="D6" t="s">
        <v>30</v>
      </c>
      <c r="E6" s="1">
        <v>200</v>
      </c>
      <c r="F6" s="1">
        <v>1</v>
      </c>
      <c r="G6" s="1"/>
      <c r="H6" s="1"/>
      <c r="I6" s="1"/>
      <c r="J6" s="19" t="s">
        <v>433</v>
      </c>
      <c r="K6" s="28" t="s">
        <v>434</v>
      </c>
      <c r="L6" t="str">
        <f ca="1">IFERROR(IF(rTbl[[#This Row],[LT]]="H",MID(rTbl[[#This Row],[Hierarchy]],rTbl[[#This Row],[Pipe1]]+1,rTbl[[#This Row],[Pipe2]]-rTbl[[#This Row],[Pipe1]]-1),LEFT(rTbl[[#This Row],[Hierarchy]],FIND("|",rTbl[[#This Row],[Hierarchy]])-1)),"")</f>
        <v>Cfields</v>
      </c>
      <c r="M6">
        <f ca="1">IF(ROW()=3,0,OFFSET(rTbl[[#This Row],[Lev]],-1,0)+IF(OFFSET(rTbl[[#This Row],[LT]],-1,0)="H",1,IF(rTbl[[#This Row],[LT]]="!H",-1,0)))</f>
        <v>1</v>
      </c>
      <c r="N6">
        <f>IF(RIGHT(rTbl[[#This Row],[valid]],4)&lt;&gt;"list",0,IFERROR(MATCH(rTbl[[#This Row],[Context]]&amp;"|"&amp;rTbl[[#This Row],[Field]],Ltbl[ind],0),IFERROR(MATCH("ALL|"&amp;rTbl[[#This Row],[Field]],Ltbl[ind],0),-1)))</f>
        <v>0</v>
      </c>
      <c r="O6" t="str" cm="1">
        <f t="array" ref="O6">IF(rTbl[[#This Row],[listlu]]&lt;1,"",IF(INDEX(Ltbl[Generic],rTbl[[#This Row],[listlu]])="","",INDEX(Ltbl[Generic],rTbl[[#This Row],[listlu]])))</f>
        <v/>
      </c>
      <c r="P6" cm="1">
        <f t="array" ref="P6">IF(rTbl[[#This Row],[listlu]]=0,0,IF(INDEX(Ltbl[Context],rTbl[[#This Row],[listlu]],1)="ALL",1,2))</f>
        <v>0</v>
      </c>
      <c r="Q6" t="str">
        <f ca="1">IF(ROW()=3,IF(rTbl[[#This Row],[LT]]="H",rTbl[[#This Row],[Field]]&amp;"|","|"),IF(rTbl[[#This Row],[LT]]="H",rTbl[[#This Row],[Field]]&amp;"|"&amp;OFFSET(rTbl[[#This Row],[Hierarchy]],-1,0),IF(rTbl[[#This Row],[LT]]&lt;&gt;"!H",OFFSET(rTbl[[#This Row],[Hierarchy]],-1,0),RIGHT(OFFSET(rTbl[[#This Row],[Hierarchy]],-1,0),LEN(OFFSET(rTbl[[#This Row],[Hierarchy]],-1,0))-LEN(rTbl[[#This Row],[Field]])-1))))</f>
        <v>Cfields|</v>
      </c>
      <c r="R6">
        <f ca="1">FIND("~",SUBSTITUTE(rTbl[[#This Row],[Hierarchy]],"|","~",1))</f>
        <v>8</v>
      </c>
      <c r="S6" t="e">
        <f ca="1">FIND("~",SUBSTITUTE(rTbl[[#This Row],[Hierarchy]],"|","~",2))</f>
        <v>#VALUE!</v>
      </c>
    </row>
    <row r="7" spans="1:20">
      <c r="A7" s="15" t="s">
        <v>142</v>
      </c>
      <c r="B7" s="15" t="s">
        <v>177</v>
      </c>
      <c r="C7" t="s">
        <v>426</v>
      </c>
      <c r="E7" s="1"/>
      <c r="F7" s="1"/>
      <c r="G7" s="1"/>
      <c r="H7" s="1"/>
      <c r="I7" s="1"/>
      <c r="J7" s="19"/>
      <c r="K7" s="28"/>
      <c r="L7" t="str">
        <f ca="1">IFERROR(IF(rTbl[[#This Row],[LT]]="H",MID(rTbl[[#This Row],[Hierarchy]],rTbl[[#This Row],[Pipe1]]+1,rTbl[[#This Row],[Pipe2]]-rTbl[[#This Row],[Pipe1]]-1),LEFT(rTbl[[#This Row],[Hierarchy]],FIND("|",rTbl[[#This Row],[Hierarchy]])-1)),"")</f>
        <v/>
      </c>
      <c r="M7">
        <f ca="1">IF(ROW()=3,0,OFFSET(rTbl[[#This Row],[Lev]],-1,0)+IF(OFFSET(rTbl[[#This Row],[LT]],-1,0)="H",1,IF(rTbl[[#This Row],[LT]]="!H",-1,0)))</f>
        <v>0</v>
      </c>
      <c r="N7">
        <f>IF(RIGHT(rTbl[[#This Row],[valid]],4)&lt;&gt;"list",0,IFERROR(MATCH(rTbl[[#This Row],[Context]]&amp;"|"&amp;rTbl[[#This Row],[Field]],Ltbl[ind],0),IFERROR(MATCH("ALL|"&amp;rTbl[[#This Row],[Field]],Ltbl[ind],0),-1)))</f>
        <v>0</v>
      </c>
      <c r="O7" t="str" cm="1">
        <f t="array" ref="O7">IF(rTbl[[#This Row],[listlu]]&lt;1,"",IF(INDEX(Ltbl[Generic],rTbl[[#This Row],[listlu]])="","",INDEX(Ltbl[Generic],rTbl[[#This Row],[listlu]])))</f>
        <v/>
      </c>
      <c r="P7" cm="1">
        <f t="array" ref="P7">IF(rTbl[[#This Row],[listlu]]=0,0,IF(INDEX(Ltbl[Context],rTbl[[#This Row],[listlu]],1)="ALL",1,2))</f>
        <v>0</v>
      </c>
      <c r="Q7" t="str">
        <f ca="1">IF(ROW()=3,IF(rTbl[[#This Row],[LT]]="H",rTbl[[#This Row],[Field]]&amp;"|","|"),IF(rTbl[[#This Row],[LT]]="H",rTbl[[#This Row],[Field]]&amp;"|"&amp;OFFSET(rTbl[[#This Row],[Hierarchy]],-1,0),IF(rTbl[[#This Row],[LT]]&lt;&gt;"!H",OFFSET(rTbl[[#This Row],[Hierarchy]],-1,0),RIGHT(OFFSET(rTbl[[#This Row],[Hierarchy]],-1,0),LEN(OFFSET(rTbl[[#This Row],[Hierarchy]],-1,0))-LEN(rTbl[[#This Row],[Field]])-1))))</f>
        <v/>
      </c>
      <c r="R7" t="e">
        <f ca="1">FIND("~",SUBSTITUTE(rTbl[[#This Row],[Hierarchy]],"|","~",1))</f>
        <v>#VALUE!</v>
      </c>
      <c r="S7" t="e">
        <f ca="1">FIND("~",SUBSTITUTE(rTbl[[#This Row],[Hierarchy]],"|","~",2))</f>
        <v>#VALUE!</v>
      </c>
    </row>
    <row r="8" spans="1:20">
      <c r="A8" s="15"/>
      <c r="B8" s="15"/>
      <c r="E8" s="1"/>
      <c r="F8" s="1"/>
      <c r="G8" s="1"/>
      <c r="H8" s="1"/>
      <c r="I8" s="1"/>
      <c r="J8" s="19"/>
      <c r="K8" s="28"/>
      <c r="L8" t="str">
        <f ca="1">IFERROR(IF(rTbl[[#This Row],[LT]]="H",MID(rTbl[[#This Row],[Hierarchy]],rTbl[[#This Row],[Pipe1]]+1,rTbl[[#This Row],[Pipe2]]-rTbl[[#This Row],[Pipe1]]-1),LEFT(rTbl[[#This Row],[Hierarchy]],FIND("|",rTbl[[#This Row],[Hierarchy]])-1)),"")</f>
        <v/>
      </c>
      <c r="M8">
        <f ca="1">IF(ROW()=3,0,OFFSET(rTbl[[#This Row],[Lev]],-1,0)+IF(OFFSET(rTbl[[#This Row],[LT]],-1,0)="H",1,IF(rTbl[[#This Row],[LT]]="!H",-1,0)))</f>
        <v>0</v>
      </c>
      <c r="N8">
        <f>IF(RIGHT(rTbl[[#This Row],[valid]],4)&lt;&gt;"list",0,IFERROR(MATCH(rTbl[[#This Row],[Context]]&amp;"|"&amp;rTbl[[#This Row],[Field]],Ltbl[ind],0),IFERROR(MATCH("ALL|"&amp;rTbl[[#This Row],[Field]],Ltbl[ind],0),-1)))</f>
        <v>0</v>
      </c>
      <c r="O8" t="str" cm="1">
        <f t="array" ref="O8">IF(rTbl[[#This Row],[listlu]]&lt;1,"",IF(INDEX(Ltbl[Generic],rTbl[[#This Row],[listlu]])="","",INDEX(Ltbl[Generic],rTbl[[#This Row],[listlu]])))</f>
        <v/>
      </c>
      <c r="P8" cm="1">
        <f t="array" ref="P8">IF(rTbl[[#This Row],[listlu]]=0,0,IF(INDEX(Ltbl[Context],rTbl[[#This Row],[listlu]],1)="ALL",1,2))</f>
        <v>0</v>
      </c>
      <c r="Q8" t="str">
        <f ca="1">IF(ROW()=3,IF(rTbl[[#This Row],[LT]]="H",rTbl[[#This Row],[Field]]&amp;"|","|"),IF(rTbl[[#This Row],[LT]]="H",rTbl[[#This Row],[Field]]&amp;"|"&amp;OFFSET(rTbl[[#This Row],[Hierarchy]],-1,0),IF(rTbl[[#This Row],[LT]]&lt;&gt;"!H",OFFSET(rTbl[[#This Row],[Hierarchy]],-1,0),RIGHT(OFFSET(rTbl[[#This Row],[Hierarchy]],-1,0),LEN(OFFSET(rTbl[[#This Row],[Hierarchy]],-1,0))-LEN(rTbl[[#This Row],[Field]])-1))))</f>
        <v/>
      </c>
      <c r="R8" t="e">
        <f ca="1">FIND("~",SUBSTITUTE(rTbl[[#This Row],[Hierarchy]],"|","~",1))</f>
        <v>#VALUE!</v>
      </c>
      <c r="S8" t="e">
        <f ca="1">FIND("~",SUBSTITUTE(rTbl[[#This Row],[Hierarchy]],"|","~",2))</f>
        <v>#VALUE!</v>
      </c>
    </row>
    <row r="9" spans="1:20">
      <c r="A9" s="15" t="s">
        <v>124</v>
      </c>
      <c r="B9" s="15" t="s">
        <v>21</v>
      </c>
      <c r="C9" t="s">
        <v>435</v>
      </c>
      <c r="E9" s="1"/>
      <c r="F9" s="1">
        <v>1</v>
      </c>
      <c r="G9" s="1" t="s">
        <v>23</v>
      </c>
      <c r="H9" s="1"/>
      <c r="I9" s="1"/>
      <c r="J9" s="19"/>
      <c r="K9" s="28"/>
      <c r="L9" t="str">
        <f ca="1">IFERROR(IF(rTbl[[#This Row],[LT]]="H",MID(rTbl[[#This Row],[Hierarchy]],rTbl[[#This Row],[Pipe1]]+1,rTbl[[#This Row],[Pipe2]]-rTbl[[#This Row],[Pipe1]]-1),LEFT(rTbl[[#This Row],[Hierarchy]],FIND("|",rTbl[[#This Row],[Hierarchy]])-1)),"")</f>
        <v/>
      </c>
      <c r="M9">
        <f ca="1">IF(ROW()=3,0,OFFSET(rTbl[[#This Row],[Lev]],-1,0)+IF(OFFSET(rTbl[[#This Row],[LT]],-1,0)="H",1,IF(rTbl[[#This Row],[LT]]="!H",-1,0)))</f>
        <v>0</v>
      </c>
      <c r="N9">
        <f>IF(RIGHT(rTbl[[#This Row],[valid]],4)&lt;&gt;"list",0,IFERROR(MATCH(rTbl[[#This Row],[Context]]&amp;"|"&amp;rTbl[[#This Row],[Field]],Ltbl[ind],0),IFERROR(MATCH("ALL|"&amp;rTbl[[#This Row],[Field]],Ltbl[ind],0),-1)))</f>
        <v>0</v>
      </c>
      <c r="O9" t="str" cm="1">
        <f t="array" ref="O9">IF(rTbl[[#This Row],[listlu]]&lt;1,"",IF(INDEX(Ltbl[Generic],rTbl[[#This Row],[listlu]])="","",INDEX(Ltbl[Generic],rTbl[[#This Row],[listlu]])))</f>
        <v/>
      </c>
      <c r="P9" cm="1">
        <f t="array" ref="P9">IF(rTbl[[#This Row],[listlu]]=0,0,IF(INDEX(Ltbl[Context],rTbl[[#This Row],[listlu]],1)="ALL",1,2))</f>
        <v>0</v>
      </c>
      <c r="Q9"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9">
        <f ca="1">FIND("~",SUBSTITUTE(rTbl[[#This Row],[Hierarchy]],"|","~",1))</f>
        <v>10</v>
      </c>
      <c r="S9" t="e">
        <f ca="1">FIND("~",SUBSTITUTE(rTbl[[#This Row],[Hierarchy]],"|","~",2))</f>
        <v>#VALUE!</v>
      </c>
    </row>
    <row r="10" spans="1:20">
      <c r="A10" s="15" t="s">
        <v>124</v>
      </c>
      <c r="B10" s="15" t="s">
        <v>28</v>
      </c>
      <c r="C10" t="s">
        <v>436</v>
      </c>
      <c r="D10" t="s">
        <v>30</v>
      </c>
      <c r="E10" s="1">
        <v>5</v>
      </c>
      <c r="F10" s="1">
        <v>1</v>
      </c>
      <c r="G10" s="1"/>
      <c r="H10" s="1"/>
      <c r="I10" s="1" t="s">
        <v>56</v>
      </c>
      <c r="J10" s="19" t="s">
        <v>437</v>
      </c>
      <c r="K10" s="28" t="s">
        <v>438</v>
      </c>
      <c r="L10" t="str">
        <f ca="1">IFERROR(IF(rTbl[[#This Row],[LT]]="H",MID(rTbl[[#This Row],[Hierarchy]],rTbl[[#This Row],[Pipe1]]+1,rTbl[[#This Row],[Pipe2]]-rTbl[[#This Row],[Pipe1]]-1),LEFT(rTbl[[#This Row],[Hierarchy]],FIND("|",rTbl[[#This Row],[Hierarchy]])-1)),"")</f>
        <v>Addresses</v>
      </c>
      <c r="M10">
        <f ca="1">IF(ROW()=3,0,OFFSET(rTbl[[#This Row],[Lev]],-1,0)+IF(OFFSET(rTbl[[#This Row],[LT]],-1,0)="H",1,IF(rTbl[[#This Row],[LT]]="!H",-1,0)))</f>
        <v>1</v>
      </c>
      <c r="N10">
        <f ca="1">IF(RIGHT(rTbl[[#This Row],[valid]],4)&lt;&gt;"list",0,IFERROR(MATCH(rTbl[[#This Row],[Context]]&amp;"|"&amp;rTbl[[#This Row],[Field]],Ltbl[ind],0),IFERROR(MATCH("ALL|"&amp;rTbl[[#This Row],[Field]],Ltbl[ind],0),-1)))</f>
        <v>2</v>
      </c>
      <c r="O10" t="str" cm="1">
        <f t="array" aca="1" ref="O10" ca="1">IF(rTbl[[#This Row],[listlu]]&lt;1,"",IF(INDEX(Ltbl[Generic],rTbl[[#This Row],[listlu]])="","",INDEX(Ltbl[Generic],rTbl[[#This Row],[listlu]])))</f>
        <v>SHIP,SUPP,BILL</v>
      </c>
      <c r="P10" cm="1">
        <f t="array" aca="1" ref="P10" ca="1">IF(rTbl[[#This Row],[listlu]]=0,0,IF(INDEX(Ltbl[Context],rTbl[[#This Row],[listlu]],1)="ALL",1,2))</f>
        <v>1</v>
      </c>
      <c r="Q10"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10">
        <f ca="1">FIND("~",SUBSTITUTE(rTbl[[#This Row],[Hierarchy]],"|","~",1))</f>
        <v>10</v>
      </c>
      <c r="S10" t="e">
        <f ca="1">FIND("~",SUBSTITUTE(rTbl[[#This Row],[Hierarchy]],"|","~",2))</f>
        <v>#VALUE!</v>
      </c>
    </row>
    <row r="11" spans="1:20">
      <c r="A11" s="15" t="s">
        <v>124</v>
      </c>
      <c r="B11" s="15" t="s">
        <v>28</v>
      </c>
      <c r="C11" t="s">
        <v>439</v>
      </c>
      <c r="D11" t="s">
        <v>30</v>
      </c>
      <c r="E11" s="1">
        <v>10</v>
      </c>
      <c r="F11" s="1">
        <v>0</v>
      </c>
      <c r="G11" s="1"/>
      <c r="H11" s="1"/>
      <c r="I11" s="1"/>
      <c r="J11" s="19"/>
      <c r="K11" s="28" t="s">
        <v>440</v>
      </c>
      <c r="L11" t="str">
        <f ca="1">IFERROR(IF(rTbl[[#This Row],[LT]]="H",MID(rTbl[[#This Row],[Hierarchy]],rTbl[[#This Row],[Pipe1]]+1,rTbl[[#This Row],[Pipe2]]-rTbl[[#This Row],[Pipe1]]-1),LEFT(rTbl[[#This Row],[Hierarchy]],FIND("|",rTbl[[#This Row],[Hierarchy]])-1)),"")</f>
        <v>Addresses</v>
      </c>
      <c r="M11">
        <f ca="1">IF(ROW()=3,0,OFFSET(rTbl[[#This Row],[Lev]],-1,0)+IF(OFFSET(rTbl[[#This Row],[LT]],-1,0)="H",1,IF(rTbl[[#This Row],[LT]]="!H",-1,0)))</f>
        <v>1</v>
      </c>
      <c r="N11">
        <f>IF(RIGHT(rTbl[[#This Row],[valid]],4)&lt;&gt;"list",0,IFERROR(MATCH(rTbl[[#This Row],[Context]]&amp;"|"&amp;rTbl[[#This Row],[Field]],Ltbl[ind],0),IFERROR(MATCH("ALL|"&amp;rTbl[[#This Row],[Field]],Ltbl[ind],0),-1)))</f>
        <v>0</v>
      </c>
      <c r="O11" t="str" cm="1">
        <f t="array" ref="O11">IF(rTbl[[#This Row],[listlu]]&lt;1,"",IF(INDEX(Ltbl[Generic],rTbl[[#This Row],[listlu]])="","",INDEX(Ltbl[Generic],rTbl[[#This Row],[listlu]])))</f>
        <v/>
      </c>
      <c r="P11" cm="1">
        <f t="array" ref="P11">IF(rTbl[[#This Row],[listlu]]=0,0,IF(INDEX(Ltbl[Context],rTbl[[#This Row],[listlu]],1)="ALL",1,2))</f>
        <v>0</v>
      </c>
      <c r="Q11"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11">
        <f ca="1">FIND("~",SUBSTITUTE(rTbl[[#This Row],[Hierarchy]],"|","~",1))</f>
        <v>10</v>
      </c>
      <c r="S11" t="e">
        <f ca="1">FIND("~",SUBSTITUTE(rTbl[[#This Row],[Hierarchy]],"|","~",2))</f>
        <v>#VALUE!</v>
      </c>
    </row>
    <row r="12" spans="1:20">
      <c r="A12" s="15" t="s">
        <v>124</v>
      </c>
      <c r="B12" s="15" t="s">
        <v>28</v>
      </c>
      <c r="C12" t="s">
        <v>441</v>
      </c>
      <c r="D12" t="s">
        <v>30</v>
      </c>
      <c r="E12" s="1">
        <v>30</v>
      </c>
      <c r="F12" s="1" t="s">
        <v>385</v>
      </c>
      <c r="G12" s="1"/>
      <c r="H12" s="1"/>
      <c r="I12" s="1"/>
      <c r="J12" s="19" t="s">
        <v>442</v>
      </c>
      <c r="K12" s="28" t="s">
        <v>443</v>
      </c>
      <c r="L12" t="str">
        <f ca="1">IFERROR(IF(rTbl[[#This Row],[LT]]="H",MID(rTbl[[#This Row],[Hierarchy]],rTbl[[#This Row],[Pipe1]]+1,rTbl[[#This Row],[Pipe2]]-rTbl[[#This Row],[Pipe1]]-1),LEFT(rTbl[[#This Row],[Hierarchy]],FIND("|",rTbl[[#This Row],[Hierarchy]])-1)),"")</f>
        <v>Addresses</v>
      </c>
      <c r="M12">
        <f ca="1">IF(ROW()=3,0,OFFSET(rTbl[[#This Row],[Lev]],-1,0)+IF(OFFSET(rTbl[[#This Row],[LT]],-1,0)="H",1,IF(rTbl[[#This Row],[LT]]="!H",-1,0)))</f>
        <v>1</v>
      </c>
      <c r="N12">
        <f>IF(RIGHT(rTbl[[#This Row],[valid]],4)&lt;&gt;"list",0,IFERROR(MATCH(rTbl[[#This Row],[Context]]&amp;"|"&amp;rTbl[[#This Row],[Field]],Ltbl[ind],0),IFERROR(MATCH("ALL|"&amp;rTbl[[#This Row],[Field]],Ltbl[ind],0),-1)))</f>
        <v>0</v>
      </c>
      <c r="O12" t="str" cm="1">
        <f t="array" ref="O12">IF(rTbl[[#This Row],[listlu]]&lt;1,"",IF(INDEX(Ltbl[Generic],rTbl[[#This Row],[listlu]])="","",INDEX(Ltbl[Generic],rTbl[[#This Row],[listlu]])))</f>
        <v/>
      </c>
      <c r="P12" cm="1">
        <f t="array" ref="P12">IF(rTbl[[#This Row],[listlu]]=0,0,IF(INDEX(Ltbl[Context],rTbl[[#This Row],[listlu]],1)="ALL",1,2))</f>
        <v>0</v>
      </c>
      <c r="Q12"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12">
        <f ca="1">FIND("~",SUBSTITUTE(rTbl[[#This Row],[Hierarchy]],"|","~",1))</f>
        <v>10</v>
      </c>
      <c r="S12" t="e">
        <f ca="1">FIND("~",SUBSTITUTE(rTbl[[#This Row],[Hierarchy]],"|","~",2))</f>
        <v>#VALUE!</v>
      </c>
    </row>
    <row r="13" spans="1:20">
      <c r="A13" s="15" t="s">
        <v>124</v>
      </c>
      <c r="B13" s="15" t="s">
        <v>28</v>
      </c>
      <c r="C13" t="s">
        <v>444</v>
      </c>
      <c r="D13" t="s">
        <v>30</v>
      </c>
      <c r="E13" s="1">
        <v>30</v>
      </c>
      <c r="F13" s="1" t="s">
        <v>385</v>
      </c>
      <c r="G13" s="1"/>
      <c r="H13" s="1"/>
      <c r="I13" s="1"/>
      <c r="J13" s="19" t="s">
        <v>445</v>
      </c>
      <c r="K13" s="28" t="s">
        <v>446</v>
      </c>
      <c r="L13" t="str">
        <f ca="1">IFERROR(IF(rTbl[[#This Row],[LT]]="H",MID(rTbl[[#This Row],[Hierarchy]],rTbl[[#This Row],[Pipe1]]+1,rTbl[[#This Row],[Pipe2]]-rTbl[[#This Row],[Pipe1]]-1),LEFT(rTbl[[#This Row],[Hierarchy]],FIND("|",rTbl[[#This Row],[Hierarchy]])-1)),"")</f>
        <v>Addresses</v>
      </c>
      <c r="M13">
        <f ca="1">IF(ROW()=3,0,OFFSET(rTbl[[#This Row],[Lev]],-1,0)+IF(OFFSET(rTbl[[#This Row],[LT]],-1,0)="H",1,IF(rTbl[[#This Row],[LT]]="!H",-1,0)))</f>
        <v>1</v>
      </c>
      <c r="N13">
        <f>IF(RIGHT(rTbl[[#This Row],[valid]],4)&lt;&gt;"list",0,IFERROR(MATCH(rTbl[[#This Row],[Context]]&amp;"|"&amp;rTbl[[#This Row],[Field]],Ltbl[ind],0),IFERROR(MATCH("ALL|"&amp;rTbl[[#This Row],[Field]],Ltbl[ind],0),-1)))</f>
        <v>0</v>
      </c>
      <c r="O13" t="str" cm="1">
        <f t="array" ref="O13">IF(rTbl[[#This Row],[listlu]]&lt;1,"",IF(INDEX(Ltbl[Generic],rTbl[[#This Row],[listlu]])="","",INDEX(Ltbl[Generic],rTbl[[#This Row],[listlu]])))</f>
        <v/>
      </c>
      <c r="P13" cm="1">
        <f t="array" ref="P13">IF(rTbl[[#This Row],[listlu]]=0,0,IF(INDEX(Ltbl[Context],rTbl[[#This Row],[listlu]],1)="ALL",1,2))</f>
        <v>0</v>
      </c>
      <c r="Q13"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13">
        <f ca="1">FIND("~",SUBSTITUTE(rTbl[[#This Row],[Hierarchy]],"|","~",1))</f>
        <v>10</v>
      </c>
      <c r="S13" t="e">
        <f ca="1">FIND("~",SUBSTITUTE(rTbl[[#This Row],[Hierarchy]],"|","~",2))</f>
        <v>#VALUE!</v>
      </c>
    </row>
    <row r="14" spans="1:20">
      <c r="A14" s="15" t="s">
        <v>124</v>
      </c>
      <c r="B14" s="15" t="s">
        <v>28</v>
      </c>
      <c r="C14" t="s">
        <v>447</v>
      </c>
      <c r="D14" t="s">
        <v>30</v>
      </c>
      <c r="E14" s="1">
        <v>20</v>
      </c>
      <c r="F14" s="1">
        <v>0</v>
      </c>
      <c r="G14" s="1"/>
      <c r="H14" s="1"/>
      <c r="I14" s="1"/>
      <c r="J14" s="19" t="s">
        <v>448</v>
      </c>
      <c r="K14" s="28" t="s">
        <v>449</v>
      </c>
      <c r="L14" t="str">
        <f ca="1">IFERROR(IF(rTbl[[#This Row],[LT]]="H",MID(rTbl[[#This Row],[Hierarchy]],rTbl[[#This Row],[Pipe1]]+1,rTbl[[#This Row],[Pipe2]]-rTbl[[#This Row],[Pipe1]]-1),LEFT(rTbl[[#This Row],[Hierarchy]],FIND("|",rTbl[[#This Row],[Hierarchy]])-1)),"")</f>
        <v>Addresses</v>
      </c>
      <c r="M14">
        <f ca="1">IF(ROW()=3,0,OFFSET(rTbl[[#This Row],[Lev]],-1,0)+IF(OFFSET(rTbl[[#This Row],[LT]],-1,0)="H",1,IF(rTbl[[#This Row],[LT]]="!H",-1,0)))</f>
        <v>1</v>
      </c>
      <c r="N14">
        <f>IF(RIGHT(rTbl[[#This Row],[valid]],4)&lt;&gt;"list",0,IFERROR(MATCH(rTbl[[#This Row],[Context]]&amp;"|"&amp;rTbl[[#This Row],[Field]],Ltbl[ind],0),IFERROR(MATCH("ALL|"&amp;rTbl[[#This Row],[Field]],Ltbl[ind],0),-1)))</f>
        <v>0</v>
      </c>
      <c r="O14" t="str" cm="1">
        <f t="array" ref="O14">IF(rTbl[[#This Row],[listlu]]&lt;1,"",IF(INDEX(Ltbl[Generic],rTbl[[#This Row],[listlu]])="","",INDEX(Ltbl[Generic],rTbl[[#This Row],[listlu]])))</f>
        <v/>
      </c>
      <c r="P14" cm="1">
        <f t="array" ref="P14">IF(rTbl[[#This Row],[listlu]]=0,0,IF(INDEX(Ltbl[Context],rTbl[[#This Row],[listlu]],1)="ALL",1,2))</f>
        <v>0</v>
      </c>
      <c r="Q14"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14">
        <f ca="1">FIND("~",SUBSTITUTE(rTbl[[#This Row],[Hierarchy]],"|","~",1))</f>
        <v>10</v>
      </c>
      <c r="S14" t="e">
        <f ca="1">FIND("~",SUBSTITUTE(rTbl[[#This Row],[Hierarchy]],"|","~",2))</f>
        <v>#VALUE!</v>
      </c>
    </row>
    <row r="15" spans="1:20">
      <c r="A15" s="15" t="s">
        <v>124</v>
      </c>
      <c r="B15" s="15" t="s">
        <v>28</v>
      </c>
      <c r="C15" t="s">
        <v>450</v>
      </c>
      <c r="D15" t="s">
        <v>30</v>
      </c>
      <c r="E15" s="1">
        <v>20</v>
      </c>
      <c r="F15" s="1" t="s">
        <v>385</v>
      </c>
      <c r="G15" s="1"/>
      <c r="H15" s="1"/>
      <c r="I15" s="1"/>
      <c r="J15" s="19" t="s">
        <v>451</v>
      </c>
      <c r="K15" s="28" t="s">
        <v>452</v>
      </c>
      <c r="L15" t="str">
        <f ca="1">IFERROR(IF(rTbl[[#This Row],[LT]]="H",MID(rTbl[[#This Row],[Hierarchy]],rTbl[[#This Row],[Pipe1]]+1,rTbl[[#This Row],[Pipe2]]-rTbl[[#This Row],[Pipe1]]-1),LEFT(rTbl[[#This Row],[Hierarchy]],FIND("|",rTbl[[#This Row],[Hierarchy]])-1)),"")</f>
        <v>Addresses</v>
      </c>
      <c r="M15">
        <f ca="1">IF(ROW()=3,0,OFFSET(rTbl[[#This Row],[Lev]],-1,0)+IF(OFFSET(rTbl[[#This Row],[LT]],-1,0)="H",1,IF(rTbl[[#This Row],[LT]]="!H",-1,0)))</f>
        <v>1</v>
      </c>
      <c r="N15">
        <f>IF(RIGHT(rTbl[[#This Row],[valid]],4)&lt;&gt;"list",0,IFERROR(MATCH(rTbl[[#This Row],[Context]]&amp;"|"&amp;rTbl[[#This Row],[Field]],Ltbl[ind],0),IFERROR(MATCH("ALL|"&amp;rTbl[[#This Row],[Field]],Ltbl[ind],0),-1)))</f>
        <v>0</v>
      </c>
      <c r="O15" t="str" cm="1">
        <f t="array" ref="O15">IF(rTbl[[#This Row],[listlu]]&lt;1,"",IF(INDEX(Ltbl[Generic],rTbl[[#This Row],[listlu]])="","",INDEX(Ltbl[Generic],rTbl[[#This Row],[listlu]])))</f>
        <v/>
      </c>
      <c r="P15" cm="1">
        <f t="array" ref="P15">IF(rTbl[[#This Row],[listlu]]=0,0,IF(INDEX(Ltbl[Context],rTbl[[#This Row],[listlu]],1)="ALL",1,2))</f>
        <v>0</v>
      </c>
      <c r="Q15"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15">
        <f ca="1">FIND("~",SUBSTITUTE(rTbl[[#This Row],[Hierarchy]],"|","~",1))</f>
        <v>10</v>
      </c>
      <c r="S15" t="e">
        <f ca="1">FIND("~",SUBSTITUTE(rTbl[[#This Row],[Hierarchy]],"|","~",2))</f>
        <v>#VALUE!</v>
      </c>
    </row>
    <row r="16" spans="1:20">
      <c r="A16" s="15" t="s">
        <v>124</v>
      </c>
      <c r="B16" s="15" t="s">
        <v>28</v>
      </c>
      <c r="C16" t="s">
        <v>453</v>
      </c>
      <c r="D16" t="s">
        <v>30</v>
      </c>
      <c r="E16" s="1">
        <v>50</v>
      </c>
      <c r="F16" s="1" t="s">
        <v>385</v>
      </c>
      <c r="G16" s="1"/>
      <c r="H16" s="1"/>
      <c r="I16" s="1"/>
      <c r="J16" s="19" t="s">
        <v>454</v>
      </c>
      <c r="K16" s="28" t="s">
        <v>455</v>
      </c>
      <c r="L16" t="str">
        <f ca="1">IFERROR(IF(rTbl[[#This Row],[LT]]="H",MID(rTbl[[#This Row],[Hierarchy]],rTbl[[#This Row],[Pipe1]]+1,rTbl[[#This Row],[Pipe2]]-rTbl[[#This Row],[Pipe1]]-1),LEFT(rTbl[[#This Row],[Hierarchy]],FIND("|",rTbl[[#This Row],[Hierarchy]])-1)),"")</f>
        <v>Addresses</v>
      </c>
      <c r="M16">
        <f ca="1">IF(ROW()=3,0,OFFSET(rTbl[[#This Row],[Lev]],-1,0)+IF(OFFSET(rTbl[[#This Row],[LT]],-1,0)="H",1,IF(rTbl[[#This Row],[LT]]="!H",-1,0)))</f>
        <v>1</v>
      </c>
      <c r="N16">
        <f>IF(RIGHT(rTbl[[#This Row],[valid]],4)&lt;&gt;"list",0,IFERROR(MATCH(rTbl[[#This Row],[Context]]&amp;"|"&amp;rTbl[[#This Row],[Field]],Ltbl[ind],0),IFERROR(MATCH("ALL|"&amp;rTbl[[#This Row],[Field]],Ltbl[ind],0),-1)))</f>
        <v>0</v>
      </c>
      <c r="O16" t="str" cm="1">
        <f t="array" ref="O16">IF(rTbl[[#This Row],[listlu]]&lt;1,"",IF(INDEX(Ltbl[Generic],rTbl[[#This Row],[listlu]])="","",INDEX(Ltbl[Generic],rTbl[[#This Row],[listlu]])))</f>
        <v/>
      </c>
      <c r="P16" cm="1">
        <f t="array" ref="P16">IF(rTbl[[#This Row],[listlu]]=0,0,IF(INDEX(Ltbl[Context],rTbl[[#This Row],[listlu]],1)="ALL",1,2))</f>
        <v>0</v>
      </c>
      <c r="Q16"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16">
        <f ca="1">FIND("~",SUBSTITUTE(rTbl[[#This Row],[Hierarchy]],"|","~",1))</f>
        <v>10</v>
      </c>
      <c r="S16" t="e">
        <f ca="1">FIND("~",SUBSTITUTE(rTbl[[#This Row],[Hierarchy]],"|","~",2))</f>
        <v>#VALUE!</v>
      </c>
    </row>
    <row r="17" spans="1:19">
      <c r="A17" s="15" t="s">
        <v>124</v>
      </c>
      <c r="B17" s="15" t="s">
        <v>28</v>
      </c>
      <c r="C17" t="s">
        <v>456</v>
      </c>
      <c r="D17" t="s">
        <v>30</v>
      </c>
      <c r="E17" s="1">
        <v>50</v>
      </c>
      <c r="F17" s="1">
        <v>1</v>
      </c>
      <c r="G17" s="1"/>
      <c r="H17" s="1"/>
      <c r="I17" s="1"/>
      <c r="J17" s="19" t="s">
        <v>457</v>
      </c>
      <c r="K17" s="28" t="s">
        <v>458</v>
      </c>
      <c r="L17" t="str">
        <f ca="1">IFERROR(IF(rTbl[[#This Row],[LT]]="H",MID(rTbl[[#This Row],[Hierarchy]],rTbl[[#This Row],[Pipe1]]+1,rTbl[[#This Row],[Pipe2]]-rTbl[[#This Row],[Pipe1]]-1),LEFT(rTbl[[#This Row],[Hierarchy]],FIND("|",rTbl[[#This Row],[Hierarchy]])-1)),"")</f>
        <v>Addresses</v>
      </c>
      <c r="M17">
        <f ca="1">IF(ROW()=3,0,OFFSET(rTbl[[#This Row],[Lev]],-1,0)+IF(OFFSET(rTbl[[#This Row],[LT]],-1,0)="H",1,IF(rTbl[[#This Row],[LT]]="!H",-1,0)))</f>
        <v>1</v>
      </c>
      <c r="N17">
        <f>IF(RIGHT(rTbl[[#This Row],[valid]],4)&lt;&gt;"list",0,IFERROR(MATCH(rTbl[[#This Row],[Context]]&amp;"|"&amp;rTbl[[#This Row],[Field]],Ltbl[ind],0),IFERROR(MATCH("ALL|"&amp;rTbl[[#This Row],[Field]],Ltbl[ind],0),-1)))</f>
        <v>0</v>
      </c>
      <c r="O17" t="str" cm="1">
        <f t="array" ref="O17">IF(rTbl[[#This Row],[listlu]]&lt;1,"",IF(INDEX(Ltbl[Generic],rTbl[[#This Row],[listlu]])="","",INDEX(Ltbl[Generic],rTbl[[#This Row],[listlu]])))</f>
        <v/>
      </c>
      <c r="P17" cm="1">
        <f t="array" ref="P17">IF(rTbl[[#This Row],[listlu]]=0,0,IF(INDEX(Ltbl[Context],rTbl[[#This Row],[listlu]],1)="ALL",1,2))</f>
        <v>0</v>
      </c>
      <c r="Q17"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17">
        <f ca="1">FIND("~",SUBSTITUTE(rTbl[[#This Row],[Hierarchy]],"|","~",1))</f>
        <v>10</v>
      </c>
      <c r="S17" t="e">
        <f ca="1">FIND("~",SUBSTITUTE(rTbl[[#This Row],[Hierarchy]],"|","~",2))</f>
        <v>#VALUE!</v>
      </c>
    </row>
    <row r="18" spans="1:19">
      <c r="A18" s="15" t="s">
        <v>124</v>
      </c>
      <c r="B18" s="15" t="s">
        <v>28</v>
      </c>
      <c r="C18" t="s">
        <v>459</v>
      </c>
      <c r="D18" t="s">
        <v>30</v>
      </c>
      <c r="E18" s="1">
        <v>50</v>
      </c>
      <c r="F18" s="1">
        <v>1</v>
      </c>
      <c r="G18" s="1"/>
      <c r="H18" s="1"/>
      <c r="I18" s="1"/>
      <c r="J18" s="19" t="s">
        <v>460</v>
      </c>
      <c r="K18" s="28" t="s">
        <v>461</v>
      </c>
      <c r="L18" t="str">
        <f ca="1">IFERROR(IF(rTbl[[#This Row],[LT]]="H",MID(rTbl[[#This Row],[Hierarchy]],rTbl[[#This Row],[Pipe1]]+1,rTbl[[#This Row],[Pipe2]]-rTbl[[#This Row],[Pipe1]]-1),LEFT(rTbl[[#This Row],[Hierarchy]],FIND("|",rTbl[[#This Row],[Hierarchy]])-1)),"")</f>
        <v>Addresses</v>
      </c>
      <c r="M18">
        <f ca="1">IF(ROW()=3,0,OFFSET(rTbl[[#This Row],[Lev]],-1,0)+IF(OFFSET(rTbl[[#This Row],[LT]],-1,0)="H",1,IF(rTbl[[#This Row],[LT]]="!H",-1,0)))</f>
        <v>1</v>
      </c>
      <c r="N18">
        <f>IF(RIGHT(rTbl[[#This Row],[valid]],4)&lt;&gt;"list",0,IFERROR(MATCH(rTbl[[#This Row],[Context]]&amp;"|"&amp;rTbl[[#This Row],[Field]],Ltbl[ind],0),IFERROR(MATCH("ALL|"&amp;rTbl[[#This Row],[Field]],Ltbl[ind],0),-1)))</f>
        <v>0</v>
      </c>
      <c r="O18" t="str" cm="1">
        <f t="array" ref="O18">IF(rTbl[[#This Row],[listlu]]&lt;1,"",IF(INDEX(Ltbl[Generic],rTbl[[#This Row],[listlu]])="","",INDEX(Ltbl[Generic],rTbl[[#This Row],[listlu]])))</f>
        <v/>
      </c>
      <c r="P18" cm="1">
        <f t="array" ref="P18">IF(rTbl[[#This Row],[listlu]]=0,0,IF(INDEX(Ltbl[Context],rTbl[[#This Row],[listlu]],1)="ALL",1,2))</f>
        <v>0</v>
      </c>
      <c r="Q18"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18">
        <f ca="1">FIND("~",SUBSTITUTE(rTbl[[#This Row],[Hierarchy]],"|","~",1))</f>
        <v>10</v>
      </c>
      <c r="S18" t="e">
        <f ca="1">FIND("~",SUBSTITUTE(rTbl[[#This Row],[Hierarchy]],"|","~",2))</f>
        <v>#VALUE!</v>
      </c>
    </row>
    <row r="19" spans="1:19">
      <c r="A19" s="15" t="s">
        <v>124</v>
      </c>
      <c r="B19" s="15" t="s">
        <v>28</v>
      </c>
      <c r="C19" t="s">
        <v>462</v>
      </c>
      <c r="D19" t="s">
        <v>30</v>
      </c>
      <c r="E19" s="1">
        <v>50</v>
      </c>
      <c r="F19" s="1">
        <v>0</v>
      </c>
      <c r="G19" s="1"/>
      <c r="H19" s="1"/>
      <c r="I19" s="1"/>
      <c r="J19" s="19" t="s">
        <v>463</v>
      </c>
      <c r="K19" s="28" t="s">
        <v>464</v>
      </c>
      <c r="L19" t="str">
        <f ca="1">IFERROR(IF(rTbl[[#This Row],[LT]]="H",MID(rTbl[[#This Row],[Hierarchy]],rTbl[[#This Row],[Pipe1]]+1,rTbl[[#This Row],[Pipe2]]-rTbl[[#This Row],[Pipe1]]-1),LEFT(rTbl[[#This Row],[Hierarchy]],FIND("|",rTbl[[#This Row],[Hierarchy]])-1)),"")</f>
        <v>Addresses</v>
      </c>
      <c r="M19">
        <f ca="1">IF(ROW()=3,0,OFFSET(rTbl[[#This Row],[Lev]],-1,0)+IF(OFFSET(rTbl[[#This Row],[LT]],-1,0)="H",1,IF(rTbl[[#This Row],[LT]]="!H",-1,0)))</f>
        <v>1</v>
      </c>
      <c r="N19">
        <f>IF(RIGHT(rTbl[[#This Row],[valid]],4)&lt;&gt;"list",0,IFERROR(MATCH(rTbl[[#This Row],[Context]]&amp;"|"&amp;rTbl[[#This Row],[Field]],Ltbl[ind],0),IFERROR(MATCH("ALL|"&amp;rTbl[[#This Row],[Field]],Ltbl[ind],0),-1)))</f>
        <v>0</v>
      </c>
      <c r="O19" t="str" cm="1">
        <f t="array" ref="O19">IF(rTbl[[#This Row],[listlu]]&lt;1,"",IF(INDEX(Ltbl[Generic],rTbl[[#This Row],[listlu]])="","",INDEX(Ltbl[Generic],rTbl[[#This Row],[listlu]])))</f>
        <v/>
      </c>
      <c r="P19" cm="1">
        <f t="array" ref="P19">IF(rTbl[[#This Row],[listlu]]=0,0,IF(INDEX(Ltbl[Context],rTbl[[#This Row],[listlu]],1)="ALL",1,2))</f>
        <v>0</v>
      </c>
      <c r="Q19"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19">
        <f ca="1">FIND("~",SUBSTITUTE(rTbl[[#This Row],[Hierarchy]],"|","~",1))</f>
        <v>10</v>
      </c>
      <c r="S19" t="e">
        <f ca="1">FIND("~",SUBSTITUTE(rTbl[[#This Row],[Hierarchy]],"|","~",2))</f>
        <v>#VALUE!</v>
      </c>
    </row>
    <row r="20" spans="1:19">
      <c r="A20" s="15" t="s">
        <v>124</v>
      </c>
      <c r="B20" s="15" t="s">
        <v>28</v>
      </c>
      <c r="C20" t="s">
        <v>465</v>
      </c>
      <c r="D20" t="s">
        <v>30</v>
      </c>
      <c r="E20" s="1">
        <v>50</v>
      </c>
      <c r="F20" s="1">
        <v>0</v>
      </c>
      <c r="G20" s="1"/>
      <c r="H20" s="1"/>
      <c r="I20" s="1"/>
      <c r="J20" s="19" t="s">
        <v>466</v>
      </c>
      <c r="K20" s="28" t="s">
        <v>467</v>
      </c>
      <c r="L20" t="str">
        <f ca="1">IFERROR(IF(rTbl[[#This Row],[LT]]="H",MID(rTbl[[#This Row],[Hierarchy]],rTbl[[#This Row],[Pipe1]]+1,rTbl[[#This Row],[Pipe2]]-rTbl[[#This Row],[Pipe1]]-1),LEFT(rTbl[[#This Row],[Hierarchy]],FIND("|",rTbl[[#This Row],[Hierarchy]])-1)),"")</f>
        <v>Addresses</v>
      </c>
      <c r="M20">
        <f ca="1">IF(ROW()=3,0,OFFSET(rTbl[[#This Row],[Lev]],-1,0)+IF(OFFSET(rTbl[[#This Row],[LT]],-1,0)="H",1,IF(rTbl[[#This Row],[LT]]="!H",-1,0)))</f>
        <v>1</v>
      </c>
      <c r="N20">
        <f>IF(RIGHT(rTbl[[#This Row],[valid]],4)&lt;&gt;"list",0,IFERROR(MATCH(rTbl[[#This Row],[Context]]&amp;"|"&amp;rTbl[[#This Row],[Field]],Ltbl[ind],0),IFERROR(MATCH("ALL|"&amp;rTbl[[#This Row],[Field]],Ltbl[ind],0),-1)))</f>
        <v>0</v>
      </c>
      <c r="O20" t="str" cm="1">
        <f t="array" ref="O20">IF(rTbl[[#This Row],[listlu]]&lt;1,"",IF(INDEX(Ltbl[Generic],rTbl[[#This Row],[listlu]])="","",INDEX(Ltbl[Generic],rTbl[[#This Row],[listlu]])))</f>
        <v/>
      </c>
      <c r="P20" cm="1">
        <f t="array" ref="P20">IF(rTbl[[#This Row],[listlu]]=0,0,IF(INDEX(Ltbl[Context],rTbl[[#This Row],[listlu]],1)="ALL",1,2))</f>
        <v>0</v>
      </c>
      <c r="Q20"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20">
        <f ca="1">FIND("~",SUBSTITUTE(rTbl[[#This Row],[Hierarchy]],"|","~",1))</f>
        <v>10</v>
      </c>
      <c r="S20" t="e">
        <f ca="1">FIND("~",SUBSTITUTE(rTbl[[#This Row],[Hierarchy]],"|","~",2))</f>
        <v>#VALUE!</v>
      </c>
    </row>
    <row r="21" spans="1:19">
      <c r="A21" s="15" t="s">
        <v>124</v>
      </c>
      <c r="B21" s="15" t="s">
        <v>28</v>
      </c>
      <c r="C21" t="s">
        <v>468</v>
      </c>
      <c r="D21" t="s">
        <v>30</v>
      </c>
      <c r="E21" s="1">
        <v>30</v>
      </c>
      <c r="F21" s="1">
        <v>1</v>
      </c>
      <c r="G21" s="1"/>
      <c r="H21" s="1"/>
      <c r="I21" s="1"/>
      <c r="J21" s="19" t="s">
        <v>469</v>
      </c>
      <c r="K21" s="28" t="s">
        <v>470</v>
      </c>
      <c r="L21" t="str">
        <f ca="1">IFERROR(IF(rTbl[[#This Row],[LT]]="H",MID(rTbl[[#This Row],[Hierarchy]],rTbl[[#This Row],[Pipe1]]+1,rTbl[[#This Row],[Pipe2]]-rTbl[[#This Row],[Pipe1]]-1),LEFT(rTbl[[#This Row],[Hierarchy]],FIND("|",rTbl[[#This Row],[Hierarchy]])-1)),"")</f>
        <v>Addresses</v>
      </c>
      <c r="M21">
        <f ca="1">IF(ROW()=3,0,OFFSET(rTbl[[#This Row],[Lev]],-1,0)+IF(OFFSET(rTbl[[#This Row],[LT]],-1,0)="H",1,IF(rTbl[[#This Row],[LT]]="!H",-1,0)))</f>
        <v>1</v>
      </c>
      <c r="N21">
        <f>IF(RIGHT(rTbl[[#This Row],[valid]],4)&lt;&gt;"list",0,IFERROR(MATCH(rTbl[[#This Row],[Context]]&amp;"|"&amp;rTbl[[#This Row],[Field]],Ltbl[ind],0),IFERROR(MATCH("ALL|"&amp;rTbl[[#This Row],[Field]],Ltbl[ind],0),-1)))</f>
        <v>0</v>
      </c>
      <c r="O21" t="str" cm="1">
        <f t="array" ref="O21">IF(rTbl[[#This Row],[listlu]]&lt;1,"",IF(INDEX(Ltbl[Generic],rTbl[[#This Row],[listlu]])="","",INDEX(Ltbl[Generic],rTbl[[#This Row],[listlu]])))</f>
        <v/>
      </c>
      <c r="P21" cm="1">
        <f t="array" ref="P21">IF(rTbl[[#This Row],[listlu]]=0,0,IF(INDEX(Ltbl[Context],rTbl[[#This Row],[listlu]],1)="ALL",1,2))</f>
        <v>0</v>
      </c>
      <c r="Q21"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21">
        <f ca="1">FIND("~",SUBSTITUTE(rTbl[[#This Row],[Hierarchy]],"|","~",1))</f>
        <v>10</v>
      </c>
      <c r="S21" t="e">
        <f ca="1">FIND("~",SUBSTITUTE(rTbl[[#This Row],[Hierarchy]],"|","~",2))</f>
        <v>#VALUE!</v>
      </c>
    </row>
    <row r="22" spans="1:19">
      <c r="A22" s="15" t="s">
        <v>124</v>
      </c>
      <c r="B22" s="15" t="s">
        <v>28</v>
      </c>
      <c r="C22" t="s">
        <v>471</v>
      </c>
      <c r="D22" t="s">
        <v>30</v>
      </c>
      <c r="E22" s="1">
        <v>30</v>
      </c>
      <c r="F22" s="1">
        <v>0</v>
      </c>
      <c r="G22" s="1"/>
      <c r="H22" s="1"/>
      <c r="I22" s="1"/>
      <c r="J22" s="19" t="s">
        <v>472</v>
      </c>
      <c r="K22" s="28" t="s">
        <v>473</v>
      </c>
      <c r="L22" t="str">
        <f ca="1">IFERROR(IF(rTbl[[#This Row],[LT]]="H",MID(rTbl[[#This Row],[Hierarchy]],rTbl[[#This Row],[Pipe1]]+1,rTbl[[#This Row],[Pipe2]]-rTbl[[#This Row],[Pipe1]]-1),LEFT(rTbl[[#This Row],[Hierarchy]],FIND("|",rTbl[[#This Row],[Hierarchy]])-1)),"")</f>
        <v>Addresses</v>
      </c>
      <c r="M22">
        <f ca="1">IF(ROW()=3,0,OFFSET(rTbl[[#This Row],[Lev]],-1,0)+IF(OFFSET(rTbl[[#This Row],[LT]],-1,0)="H",1,IF(rTbl[[#This Row],[LT]]="!H",-1,0)))</f>
        <v>1</v>
      </c>
      <c r="N22">
        <f>IF(RIGHT(rTbl[[#This Row],[valid]],4)&lt;&gt;"list",0,IFERROR(MATCH(rTbl[[#This Row],[Context]]&amp;"|"&amp;rTbl[[#This Row],[Field]],Ltbl[ind],0),IFERROR(MATCH("ALL|"&amp;rTbl[[#This Row],[Field]],Ltbl[ind],0),-1)))</f>
        <v>0</v>
      </c>
      <c r="O22" t="str" cm="1">
        <f t="array" ref="O22">IF(rTbl[[#This Row],[listlu]]&lt;1,"",IF(INDEX(Ltbl[Generic],rTbl[[#This Row],[listlu]])="","",INDEX(Ltbl[Generic],rTbl[[#This Row],[listlu]])))</f>
        <v/>
      </c>
      <c r="P22" cm="1">
        <f t="array" ref="P22">IF(rTbl[[#This Row],[listlu]]=0,0,IF(INDEX(Ltbl[Context],rTbl[[#This Row],[listlu]],1)="ALL",1,2))</f>
        <v>0</v>
      </c>
      <c r="Q22"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22">
        <f ca="1">FIND("~",SUBSTITUTE(rTbl[[#This Row],[Hierarchy]],"|","~",1))</f>
        <v>10</v>
      </c>
      <c r="S22" t="e">
        <f ca="1">FIND("~",SUBSTITUTE(rTbl[[#This Row],[Hierarchy]],"|","~",2))</f>
        <v>#VALUE!</v>
      </c>
    </row>
    <row r="23" spans="1:19">
      <c r="A23" s="15" t="s">
        <v>124</v>
      </c>
      <c r="B23" s="15" t="s">
        <v>28</v>
      </c>
      <c r="C23" t="s">
        <v>474</v>
      </c>
      <c r="D23" t="s">
        <v>30</v>
      </c>
      <c r="E23" s="1">
        <v>20</v>
      </c>
      <c r="F23" s="1">
        <v>0</v>
      </c>
      <c r="G23" s="1"/>
      <c r="H23" s="1"/>
      <c r="I23" s="1" t="s">
        <v>104</v>
      </c>
      <c r="J23" s="19" t="s">
        <v>475</v>
      </c>
      <c r="K23" s="28" t="s">
        <v>476</v>
      </c>
      <c r="L23" t="str">
        <f ca="1">IFERROR(IF(rTbl[[#This Row],[LT]]="H",MID(rTbl[[#This Row],[Hierarchy]],rTbl[[#This Row],[Pipe1]]+1,rTbl[[#This Row],[Pipe2]]-rTbl[[#This Row],[Pipe1]]-1),LEFT(rTbl[[#This Row],[Hierarchy]],FIND("|",rTbl[[#This Row],[Hierarchy]])-1)),"")</f>
        <v>Addresses</v>
      </c>
      <c r="M23">
        <f ca="1">IF(ROW()=3,0,OFFSET(rTbl[[#This Row],[Lev]],-1,0)+IF(OFFSET(rTbl[[#This Row],[LT]],-1,0)="H",1,IF(rTbl[[#This Row],[LT]]="!H",-1,0)))</f>
        <v>1</v>
      </c>
      <c r="N23">
        <f>IF(RIGHT(rTbl[[#This Row],[valid]],4)&lt;&gt;"list",0,IFERROR(MATCH(rTbl[[#This Row],[Context]]&amp;"|"&amp;rTbl[[#This Row],[Field]],Ltbl[ind],0),IFERROR(MATCH("ALL|"&amp;rTbl[[#This Row],[Field]],Ltbl[ind],0),-1)))</f>
        <v>0</v>
      </c>
      <c r="O23" t="str" cm="1">
        <f t="array" ref="O23">IF(rTbl[[#This Row],[listlu]]&lt;1,"",IF(INDEX(Ltbl[Generic],rTbl[[#This Row],[listlu]])="","",INDEX(Ltbl[Generic],rTbl[[#This Row],[listlu]])))</f>
        <v/>
      </c>
      <c r="P23" cm="1">
        <f t="array" ref="P23">IF(rTbl[[#This Row],[listlu]]=0,0,IF(INDEX(Ltbl[Context],rTbl[[#This Row],[listlu]],1)="ALL",1,2))</f>
        <v>0</v>
      </c>
      <c r="Q23"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23">
        <f ca="1">FIND("~",SUBSTITUTE(rTbl[[#This Row],[Hierarchy]],"|","~",1))</f>
        <v>10</v>
      </c>
      <c r="S23" t="e">
        <f ca="1">FIND("~",SUBSTITUTE(rTbl[[#This Row],[Hierarchy]],"|","~",2))</f>
        <v>#VALUE!</v>
      </c>
    </row>
    <row r="24" spans="1:19">
      <c r="A24" s="15" t="s">
        <v>124</v>
      </c>
      <c r="B24" s="15" t="s">
        <v>28</v>
      </c>
      <c r="C24" t="s">
        <v>477</v>
      </c>
      <c r="D24" t="s">
        <v>30</v>
      </c>
      <c r="E24" s="1">
        <v>2</v>
      </c>
      <c r="F24" s="1">
        <v>1</v>
      </c>
      <c r="G24" s="1"/>
      <c r="H24" s="1"/>
      <c r="I24" s="1" t="s">
        <v>104</v>
      </c>
      <c r="J24" s="19" t="s">
        <v>478</v>
      </c>
      <c r="K24" s="28" t="s">
        <v>479</v>
      </c>
      <c r="L24" t="str">
        <f ca="1">IFERROR(IF(rTbl[[#This Row],[LT]]="H",MID(rTbl[[#This Row],[Hierarchy]],rTbl[[#This Row],[Pipe1]]+1,rTbl[[#This Row],[Pipe2]]-rTbl[[#This Row],[Pipe1]]-1),LEFT(rTbl[[#This Row],[Hierarchy]],FIND("|",rTbl[[#This Row],[Hierarchy]])-1)),"")</f>
        <v>Addresses</v>
      </c>
      <c r="M24">
        <f ca="1">IF(ROW()=3,0,OFFSET(rTbl[[#This Row],[Lev]],-1,0)+IF(OFFSET(rTbl[[#This Row],[LT]],-1,0)="H",1,IF(rTbl[[#This Row],[LT]]="!H",-1,0)))</f>
        <v>1</v>
      </c>
      <c r="N24">
        <f>IF(RIGHT(rTbl[[#This Row],[valid]],4)&lt;&gt;"list",0,IFERROR(MATCH(rTbl[[#This Row],[Context]]&amp;"|"&amp;rTbl[[#This Row],[Field]],Ltbl[ind],0),IFERROR(MATCH("ALL|"&amp;rTbl[[#This Row],[Field]],Ltbl[ind],0),-1)))</f>
        <v>0</v>
      </c>
      <c r="O24" t="str" cm="1">
        <f t="array" ref="O24">IF(rTbl[[#This Row],[listlu]]&lt;1,"",IF(INDEX(Ltbl[Generic],rTbl[[#This Row],[listlu]])="","",INDEX(Ltbl[Generic],rTbl[[#This Row],[listlu]])))</f>
        <v/>
      </c>
      <c r="P24" cm="1">
        <f t="array" ref="P24">IF(rTbl[[#This Row],[listlu]]=0,0,IF(INDEX(Ltbl[Context],rTbl[[#This Row],[listlu]],1)="ALL",1,2))</f>
        <v>0</v>
      </c>
      <c r="Q24"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24">
        <f ca="1">FIND("~",SUBSTITUTE(rTbl[[#This Row],[Hierarchy]],"|","~",1))</f>
        <v>10</v>
      </c>
      <c r="S24" t="e">
        <f ca="1">FIND("~",SUBSTITUTE(rTbl[[#This Row],[Hierarchy]],"|","~",2))</f>
        <v>#VALUE!</v>
      </c>
    </row>
    <row r="25" spans="1:19">
      <c r="A25" s="15" t="s">
        <v>124</v>
      </c>
      <c r="B25" s="15" t="s">
        <v>28</v>
      </c>
      <c r="C25" t="s">
        <v>480</v>
      </c>
      <c r="D25" t="s">
        <v>30</v>
      </c>
      <c r="E25" s="1">
        <v>50</v>
      </c>
      <c r="F25" s="1">
        <v>0</v>
      </c>
      <c r="G25" s="1"/>
      <c r="H25" s="1"/>
      <c r="I25" s="1"/>
      <c r="J25" s="19" t="s">
        <v>481</v>
      </c>
      <c r="K25" s="28" t="s">
        <v>482</v>
      </c>
      <c r="L25" t="str">
        <f ca="1">IFERROR(IF(rTbl[[#This Row],[LT]]="H",MID(rTbl[[#This Row],[Hierarchy]],rTbl[[#This Row],[Pipe1]]+1,rTbl[[#This Row],[Pipe2]]-rTbl[[#This Row],[Pipe1]]-1),LEFT(rTbl[[#This Row],[Hierarchy]],FIND("|",rTbl[[#This Row],[Hierarchy]])-1)),"")</f>
        <v>Addresses</v>
      </c>
      <c r="M25">
        <f ca="1">IF(ROW()=3,0,OFFSET(rTbl[[#This Row],[Lev]],-1,0)+IF(OFFSET(rTbl[[#This Row],[LT]],-1,0)="H",1,IF(rTbl[[#This Row],[LT]]="!H",-1,0)))</f>
        <v>1</v>
      </c>
      <c r="N25">
        <f>IF(RIGHT(rTbl[[#This Row],[valid]],4)&lt;&gt;"list",0,IFERROR(MATCH(rTbl[[#This Row],[Context]]&amp;"|"&amp;rTbl[[#This Row],[Field]],Ltbl[ind],0),IFERROR(MATCH("ALL|"&amp;rTbl[[#This Row],[Field]],Ltbl[ind],0),-1)))</f>
        <v>0</v>
      </c>
      <c r="O25" t="str" cm="1">
        <f t="array" ref="O25">IF(rTbl[[#This Row],[listlu]]&lt;1,"",IF(INDEX(Ltbl[Generic],rTbl[[#This Row],[listlu]])="","",INDEX(Ltbl[Generic],rTbl[[#This Row],[listlu]])))</f>
        <v/>
      </c>
      <c r="P25" cm="1">
        <f t="array" ref="P25">IF(rTbl[[#This Row],[listlu]]=0,0,IF(INDEX(Ltbl[Context],rTbl[[#This Row],[listlu]],1)="ALL",1,2))</f>
        <v>0</v>
      </c>
      <c r="Q25" t="str">
        <f ca="1">IF(ROW()=3,IF(rTbl[[#This Row],[LT]]="H",rTbl[[#This Row],[Field]]&amp;"|","|"),IF(rTbl[[#This Row],[LT]]="H",rTbl[[#This Row],[Field]]&amp;"|"&amp;OFFSET(rTbl[[#This Row],[Hierarchy]],-1,0),IF(rTbl[[#This Row],[LT]]&lt;&gt;"!H",OFFSET(rTbl[[#This Row],[Hierarchy]],-1,0),RIGHT(OFFSET(rTbl[[#This Row],[Hierarchy]],-1,0),LEN(OFFSET(rTbl[[#This Row],[Hierarchy]],-1,0))-LEN(rTbl[[#This Row],[Field]])-1))))</f>
        <v>Addresses|</v>
      </c>
      <c r="R25">
        <f ca="1">FIND("~",SUBSTITUTE(rTbl[[#This Row],[Hierarchy]],"|","~",1))</f>
        <v>10</v>
      </c>
      <c r="S25" t="e">
        <f ca="1">FIND("~",SUBSTITUTE(rTbl[[#This Row],[Hierarchy]],"|","~",2))</f>
        <v>#VALUE!</v>
      </c>
    </row>
    <row r="26" spans="1:19">
      <c r="A26" s="15" t="s">
        <v>124</v>
      </c>
      <c r="B26" s="15" t="s">
        <v>177</v>
      </c>
      <c r="C26" t="s">
        <v>435</v>
      </c>
      <c r="E26" s="1"/>
      <c r="F26" s="1"/>
      <c r="G26" s="1"/>
      <c r="H26" s="1"/>
      <c r="I26" s="1"/>
      <c r="J26" s="19"/>
      <c r="K26" s="28"/>
      <c r="L26" t="str">
        <f ca="1">IFERROR(IF(rTbl[[#This Row],[LT]]="H",MID(rTbl[[#This Row],[Hierarchy]],rTbl[[#This Row],[Pipe1]]+1,rTbl[[#This Row],[Pipe2]]-rTbl[[#This Row],[Pipe1]]-1),LEFT(rTbl[[#This Row],[Hierarchy]],FIND("|",rTbl[[#This Row],[Hierarchy]])-1)),"")</f>
        <v/>
      </c>
      <c r="M26">
        <f ca="1">IF(ROW()=3,0,OFFSET(rTbl[[#This Row],[Lev]],-1,0)+IF(OFFSET(rTbl[[#This Row],[LT]],-1,0)="H",1,IF(rTbl[[#This Row],[LT]]="!H",-1,0)))</f>
        <v>0</v>
      </c>
      <c r="N26">
        <f>IF(RIGHT(rTbl[[#This Row],[valid]],4)&lt;&gt;"list",0,IFERROR(MATCH(rTbl[[#This Row],[Context]]&amp;"|"&amp;rTbl[[#This Row],[Field]],Ltbl[ind],0),IFERROR(MATCH("ALL|"&amp;rTbl[[#This Row],[Field]],Ltbl[ind],0),-1)))</f>
        <v>0</v>
      </c>
      <c r="O26" t="str" cm="1">
        <f t="array" ref="O26">IF(rTbl[[#This Row],[listlu]]&lt;1,"",IF(INDEX(Ltbl[Generic],rTbl[[#This Row],[listlu]])="","",INDEX(Ltbl[Generic],rTbl[[#This Row],[listlu]])))</f>
        <v/>
      </c>
      <c r="P26" cm="1">
        <f t="array" ref="P26">IF(rTbl[[#This Row],[listlu]]=0,0,IF(INDEX(Ltbl[Context],rTbl[[#This Row],[listlu]],1)="ALL",1,2))</f>
        <v>0</v>
      </c>
      <c r="Q26" t="str">
        <f ca="1">IF(ROW()=3,IF(rTbl[[#This Row],[LT]]="H",rTbl[[#This Row],[Field]]&amp;"|","|"),IF(rTbl[[#This Row],[LT]]="H",rTbl[[#This Row],[Field]]&amp;"|"&amp;OFFSET(rTbl[[#This Row],[Hierarchy]],-1,0),IF(rTbl[[#This Row],[LT]]&lt;&gt;"!H",OFFSET(rTbl[[#This Row],[Hierarchy]],-1,0),RIGHT(OFFSET(rTbl[[#This Row],[Hierarchy]],-1,0),LEN(OFFSET(rTbl[[#This Row],[Hierarchy]],-1,0))-LEN(rTbl[[#This Row],[Field]])-1))))</f>
        <v/>
      </c>
      <c r="R26" t="e">
        <f ca="1">FIND("~",SUBSTITUTE(rTbl[[#This Row],[Hierarchy]],"|","~",1))</f>
        <v>#VALUE!</v>
      </c>
      <c r="S26" t="e">
        <f ca="1">FIND("~",SUBSTITUTE(rTbl[[#This Row],[Hierarchy]],"|","~",2))</f>
        <v>#VALUE!</v>
      </c>
    </row>
    <row r="27" spans="1:19">
      <c r="A27" s="15"/>
      <c r="B27" s="15"/>
      <c r="E27" s="1"/>
      <c r="F27" s="1"/>
      <c r="G27" s="1"/>
      <c r="H27" s="1"/>
      <c r="I27" s="1"/>
      <c r="J27" s="19"/>
      <c r="K27" s="28"/>
      <c r="L27" t="str">
        <f ca="1">IFERROR(IF(rTbl[[#This Row],[LT]]="H",MID(rTbl[[#This Row],[Hierarchy]],rTbl[[#This Row],[Pipe1]]+1,rTbl[[#This Row],[Pipe2]]-rTbl[[#This Row],[Pipe1]]-1),LEFT(rTbl[[#This Row],[Hierarchy]],FIND("|",rTbl[[#This Row],[Hierarchy]])-1)),"")</f>
        <v/>
      </c>
      <c r="M27">
        <f ca="1">IF(ROW()=3,0,OFFSET(rTbl[[#This Row],[Lev]],-1,0)+IF(OFFSET(rTbl[[#This Row],[LT]],-1,0)="H",1,IF(rTbl[[#This Row],[LT]]="!H",-1,0)))</f>
        <v>0</v>
      </c>
      <c r="N27">
        <f>IF(RIGHT(rTbl[[#This Row],[valid]],4)&lt;&gt;"list",0,IFERROR(MATCH(rTbl[[#This Row],[Context]]&amp;"|"&amp;rTbl[[#This Row],[Field]],Ltbl[ind],0),IFERROR(MATCH("ALL|"&amp;rTbl[[#This Row],[Field]],Ltbl[ind],0),-1)))</f>
        <v>0</v>
      </c>
      <c r="O27" t="str">
        <f t="array" ref="O27">IF(rTbl[[#This Row],[listlu]]&lt;1,"",IF(INDEX(Ltbl[Generic],rTbl[[#This Row],[listlu]])="","",INDEX(Ltbl[Generic],rTbl[[#This Row],[listlu]])))</f>
        <v/>
      </c>
      <c r="P27" cm="1">
        <f t="array" ref="P27">IF(rTbl[[#This Row],[listlu]]=0,0,IF(INDEX(Ltbl[Context],rTbl[[#This Row],[listlu]],1)="ALL",1,2))</f>
        <v>0</v>
      </c>
      <c r="Q27" t="str">
        <f ca="1">IF(ROW()=3,IF(rTbl[[#This Row],[LT]]="H",rTbl[[#This Row],[Field]]&amp;"|","|"),IF(rTbl[[#This Row],[LT]]="H",rTbl[[#This Row],[Field]]&amp;"|"&amp;OFFSET(rTbl[[#This Row],[Hierarchy]],-1,0),IF(rTbl[[#This Row],[LT]]&lt;&gt;"!H",OFFSET(rTbl[[#This Row],[Hierarchy]],-1,0),RIGHT(OFFSET(rTbl[[#This Row],[Hierarchy]],-1,0),LEN(OFFSET(rTbl[[#This Row],[Hierarchy]],-1,0))-LEN(rTbl[[#This Row],[Field]])-1))))</f>
        <v/>
      </c>
      <c r="R27" t="e">
        <f ca="1">FIND("~",SUBSTITUTE(rTbl[[#This Row],[Hierarchy]],"|","~",1))</f>
        <v>#VALUE!</v>
      </c>
      <c r="S27" t="e">
        <f ca="1">FIND("~",SUBSTITUTE(rTbl[[#This Row],[Hierarchy]],"|","~",2))</f>
        <v>#VALUE!</v>
      </c>
    </row>
    <row r="28" spans="1:19">
      <c r="A28" t="s">
        <v>483</v>
      </c>
      <c r="B28" s="15" t="s">
        <v>21</v>
      </c>
      <c r="C28" t="s">
        <v>484</v>
      </c>
      <c r="E28" s="1"/>
      <c r="F28" s="1">
        <v>1</v>
      </c>
      <c r="G28" s="1" t="s">
        <v>23</v>
      </c>
      <c r="H28" s="1"/>
      <c r="I28" s="1"/>
      <c r="J28" s="19" t="s">
        <v>485</v>
      </c>
      <c r="K28" s="28"/>
      <c r="L28" t="str">
        <f ca="1">IFERROR(IF(rTbl[[#This Row],[LT]]="H",MID(rTbl[[#This Row],[Hierarchy]],rTbl[[#This Row],[Pipe1]]+1,rTbl[[#This Row],[Pipe2]]-rTbl[[#This Row],[Pipe1]]-1),LEFT(rTbl[[#This Row],[Hierarchy]],FIND("|",rTbl[[#This Row],[Hierarchy]])-1)),"")</f>
        <v/>
      </c>
      <c r="M28">
        <f ca="1">IF(ROW()=3,0,OFFSET(rTbl[[#This Row],[Lev]],-1,0)+IF(OFFSET(rTbl[[#This Row],[LT]],-1,0)="H",1,IF(rTbl[[#This Row],[LT]]="!H",-1,0)))</f>
        <v>0</v>
      </c>
      <c r="N28">
        <f>IF(RIGHT(rTbl[[#This Row],[valid]],4)&lt;&gt;"list",0,IFERROR(MATCH(rTbl[[#This Row],[Context]]&amp;"|"&amp;rTbl[[#This Row],[Field]],Ltbl[ind],0),IFERROR(MATCH("ALL|"&amp;rTbl[[#This Row],[Field]],Ltbl[ind],0),-1)))</f>
        <v>0</v>
      </c>
      <c r="O28" t="str">
        <f t="array" ref="O28">IF(rTbl[[#This Row],[listlu]]&lt;1,"",IF(INDEX(Ltbl[Generic],rTbl[[#This Row],[listlu]])="","",INDEX(Ltbl[Generic],rTbl[[#This Row],[listlu]])))</f>
        <v/>
      </c>
      <c r="P28" cm="1">
        <f t="array" ref="P28">IF(rTbl[[#This Row],[listlu]]=0,0,IF(INDEX(Ltbl[Context],rTbl[[#This Row],[listlu]],1)="ALL",1,2))</f>
        <v>0</v>
      </c>
      <c r="Q28" t="str">
        <f ca="1">IF(ROW()=3,IF(rTbl[[#This Row],[LT]]="H",rTbl[[#This Row],[Field]]&amp;"|","|"),IF(rTbl[[#This Row],[LT]]="H",rTbl[[#This Row],[Field]]&amp;"|"&amp;OFFSET(rTbl[[#This Row],[Hierarchy]],-1,0),IF(rTbl[[#This Row],[LT]]&lt;&gt;"!H",OFFSET(rTbl[[#This Row],[Hierarchy]],-1,0),RIGHT(OFFSET(rTbl[[#This Row],[Hierarchy]],-1,0),LEN(OFFSET(rTbl[[#This Row],[Hierarchy]],-1,0))-LEN(rTbl[[#This Row],[Field]])-1))))</f>
        <v>Pmetrics|</v>
      </c>
      <c r="R28">
        <f ca="1">FIND("~",SUBSTITUTE(rTbl[[#This Row],[Hierarchy]],"|","~",1))</f>
        <v>9</v>
      </c>
      <c r="S28" t="e">
        <f ca="1">FIND("~",SUBSTITUTE(rTbl[[#This Row],[Hierarchy]],"|","~",2))</f>
        <v>#VALUE!</v>
      </c>
    </row>
    <row r="29" spans="1:19">
      <c r="A29" t="s">
        <v>483</v>
      </c>
      <c r="B29" s="15" t="s">
        <v>28</v>
      </c>
      <c r="C29" t="s">
        <v>159</v>
      </c>
      <c r="D29" t="s">
        <v>30</v>
      </c>
      <c r="E29" s="1">
        <v>5</v>
      </c>
      <c r="F29" s="1">
        <v>1</v>
      </c>
      <c r="G29" s="1"/>
      <c r="H29" s="1"/>
      <c r="I29" s="1" t="s">
        <v>56</v>
      </c>
      <c r="J29" s="19" t="s">
        <v>486</v>
      </c>
      <c r="K29" s="28" t="s">
        <v>161</v>
      </c>
      <c r="L29" t="str">
        <f ca="1">IFERROR(IF(rTbl[[#This Row],[LT]]="H",MID(rTbl[[#This Row],[Hierarchy]],rTbl[[#This Row],[Pipe1]]+1,rTbl[[#This Row],[Pipe2]]-rTbl[[#This Row],[Pipe1]]-1),LEFT(rTbl[[#This Row],[Hierarchy]],FIND("|",rTbl[[#This Row],[Hierarchy]])-1)),"")</f>
        <v>Pmetrics</v>
      </c>
      <c r="M29">
        <f ca="1">IF(ROW()=3,0,OFFSET(rTbl[[#This Row],[Lev]],-1,0)+IF(OFFSET(rTbl[[#This Row],[LT]],-1,0)="H",1,IF(rTbl[[#This Row],[LT]]="!H",-1,0)))</f>
        <v>1</v>
      </c>
      <c r="N29">
        <f ca="1">IF(RIGHT(rTbl[[#This Row],[valid]],4)&lt;&gt;"list",0,IFERROR(MATCH(rTbl[[#This Row],[Context]]&amp;"|"&amp;rTbl[[#This Row],[Field]],Ltbl[ind],0),IFERROR(MATCH("ALL|"&amp;rTbl[[#This Row],[Field]],Ltbl[ind],0),-1)))</f>
        <v>11</v>
      </c>
      <c r="O29" t="str">
        <f t="array" aca="1" ref="O29" ca="1">IF(rTbl[[#This Row],[listlu]]&lt;1,"",IF(INDEX(Ltbl[Generic],rTbl[[#This Row],[listlu]])="","",INDEX(Ltbl[Generic],rTbl[[#This Row],[listlu]])))</f>
        <v>EACH,INNER,OUTER</v>
      </c>
      <c r="P29" cm="1">
        <f t="array" aca="1" ref="P29" ca="1">IF(rTbl[[#This Row],[listlu]]=0,0,IF(INDEX(Ltbl[Context],rTbl[[#This Row],[listlu]],1)="ALL",1,2))</f>
        <v>1</v>
      </c>
      <c r="Q29" t="str">
        <f ca="1">IF(ROW()=3,IF(rTbl[[#This Row],[LT]]="H",rTbl[[#This Row],[Field]]&amp;"|","|"),IF(rTbl[[#This Row],[LT]]="H",rTbl[[#This Row],[Field]]&amp;"|"&amp;OFFSET(rTbl[[#This Row],[Hierarchy]],-1,0),IF(rTbl[[#This Row],[LT]]&lt;&gt;"!H",OFFSET(rTbl[[#This Row],[Hierarchy]],-1,0),RIGHT(OFFSET(rTbl[[#This Row],[Hierarchy]],-1,0),LEN(OFFSET(rTbl[[#This Row],[Hierarchy]],-1,0))-LEN(rTbl[[#This Row],[Field]])-1))))</f>
        <v>Pmetrics|</v>
      </c>
      <c r="R29">
        <f ca="1">FIND("~",SUBSTITUTE(rTbl[[#This Row],[Hierarchy]],"|","~",1))</f>
        <v>9</v>
      </c>
      <c r="S29" t="e">
        <f ca="1">FIND("~",SUBSTITUTE(rTbl[[#This Row],[Hierarchy]],"|","~",2))</f>
        <v>#VALUE!</v>
      </c>
    </row>
    <row r="30" spans="1:19">
      <c r="A30" t="s">
        <v>483</v>
      </c>
      <c r="B30" s="15" t="s">
        <v>28</v>
      </c>
      <c r="C30" t="s">
        <v>487</v>
      </c>
      <c r="D30" t="s">
        <v>84</v>
      </c>
      <c r="E30" s="1"/>
      <c r="F30" s="1">
        <v>1</v>
      </c>
      <c r="G30" s="1"/>
      <c r="H30" s="1"/>
      <c r="I30" s="1" t="s">
        <v>215</v>
      </c>
      <c r="J30" s="19" t="s">
        <v>488</v>
      </c>
      <c r="K30" s="28" t="s">
        <v>489</v>
      </c>
      <c r="L30" t="str">
        <f ca="1">IFERROR(IF(rTbl[[#This Row],[LT]]="H",MID(rTbl[[#This Row],[Hierarchy]],rTbl[[#This Row],[Pipe1]]+1,rTbl[[#This Row],[Pipe2]]-rTbl[[#This Row],[Pipe1]]-1),LEFT(rTbl[[#This Row],[Hierarchy]],FIND("|",rTbl[[#This Row],[Hierarchy]])-1)),"")</f>
        <v>Pmetrics</v>
      </c>
      <c r="M30">
        <f ca="1">IF(ROW()=3,0,OFFSET(rTbl[[#This Row],[Lev]],-1,0)+IF(OFFSET(rTbl[[#This Row],[LT]],-1,0)="H",1,IF(rTbl[[#This Row],[LT]]="!H",-1,0)))</f>
        <v>1</v>
      </c>
      <c r="N30">
        <f>IF(RIGHT(rTbl[[#This Row],[valid]],4)&lt;&gt;"list",0,IFERROR(MATCH(rTbl[[#This Row],[Context]]&amp;"|"&amp;rTbl[[#This Row],[Field]],Ltbl[ind],0),IFERROR(MATCH("ALL|"&amp;rTbl[[#This Row],[Field]],Ltbl[ind],0),-1)))</f>
        <v>0</v>
      </c>
      <c r="O30" t="str">
        <f t="array" ref="O30">IF(rTbl[[#This Row],[listlu]]&lt;1,"",IF(INDEX(Ltbl[Generic],rTbl[[#This Row],[listlu]])="","",INDEX(Ltbl[Generic],rTbl[[#This Row],[listlu]])))</f>
        <v/>
      </c>
      <c r="P30" cm="1">
        <f t="array" ref="P30">IF(rTbl[[#This Row],[listlu]]=0,0,IF(INDEX(Ltbl[Context],rTbl[[#This Row],[listlu]],1)="ALL",1,2))</f>
        <v>0</v>
      </c>
      <c r="Q30" t="str">
        <f ca="1">IF(ROW()=3,IF(rTbl[[#This Row],[LT]]="H",rTbl[[#This Row],[Field]]&amp;"|","|"),IF(rTbl[[#This Row],[LT]]="H",rTbl[[#This Row],[Field]]&amp;"|"&amp;OFFSET(rTbl[[#This Row],[Hierarchy]],-1,0),IF(rTbl[[#This Row],[LT]]&lt;&gt;"!H",OFFSET(rTbl[[#This Row],[Hierarchy]],-1,0),RIGHT(OFFSET(rTbl[[#This Row],[Hierarchy]],-1,0),LEN(OFFSET(rTbl[[#This Row],[Hierarchy]],-1,0))-LEN(rTbl[[#This Row],[Field]])-1))))</f>
        <v>Pmetrics|</v>
      </c>
      <c r="R30">
        <f ca="1">FIND("~",SUBSTITUTE(rTbl[[#This Row],[Hierarchy]],"|","~",1))</f>
        <v>9</v>
      </c>
      <c r="S30" t="e">
        <f ca="1">FIND("~",SUBSTITUTE(rTbl[[#This Row],[Hierarchy]],"|","~",2))</f>
        <v>#VALUE!</v>
      </c>
    </row>
    <row r="31" spans="1:19">
      <c r="A31" t="s">
        <v>483</v>
      </c>
      <c r="B31" s="15" t="s">
        <v>28</v>
      </c>
      <c r="C31" t="s">
        <v>490</v>
      </c>
      <c r="D31" t="s">
        <v>30</v>
      </c>
      <c r="E31" s="1">
        <v>5</v>
      </c>
      <c r="F31" s="1">
        <v>1</v>
      </c>
      <c r="G31" s="1"/>
      <c r="H31" s="1"/>
      <c r="I31" s="1" t="s">
        <v>56</v>
      </c>
      <c r="J31" s="19" t="s">
        <v>491</v>
      </c>
      <c r="K31" s="28" t="s">
        <v>161</v>
      </c>
      <c r="L31" t="str">
        <f ca="1">IFERROR(IF(rTbl[[#This Row],[LT]]="H",MID(rTbl[[#This Row],[Hierarchy]],rTbl[[#This Row],[Pipe1]]+1,rTbl[[#This Row],[Pipe2]]-rTbl[[#This Row],[Pipe1]]-1),LEFT(rTbl[[#This Row],[Hierarchy]],FIND("|",rTbl[[#This Row],[Hierarchy]])-1)),"")</f>
        <v>Pmetrics</v>
      </c>
      <c r="M31">
        <f ca="1">IF(ROW()=3,0,OFFSET(rTbl[[#This Row],[Lev]],-1,0)+IF(OFFSET(rTbl[[#This Row],[LT]],-1,0)="H",1,IF(rTbl[[#This Row],[LT]]="!H",-1,0)))</f>
        <v>1</v>
      </c>
      <c r="N31">
        <f ca="1">IF(RIGHT(rTbl[[#This Row],[valid]],4)&lt;&gt;"list",0,IFERROR(MATCH(rTbl[[#This Row],[Context]]&amp;"|"&amp;rTbl[[#This Row],[Field]],Ltbl[ind],0),IFERROR(MATCH("ALL|"&amp;rTbl[[#This Row],[Field]],Ltbl[ind],0),-1)))</f>
        <v>10</v>
      </c>
      <c r="O31" t="str">
        <f t="array" aca="1" ref="O31" ca="1">IF(rTbl[[#This Row],[listlu]]&lt;1,"",IF(INDEX(Ltbl[Generic],rTbl[[#This Row],[listlu]])="","",INDEX(Ltbl[Generic],rTbl[[#This Row],[listlu]])))</f>
        <v>EACH,INNER,OUTER</v>
      </c>
      <c r="P31" cm="1">
        <f t="array" aca="1" ref="P31" ca="1">IF(rTbl[[#This Row],[listlu]]=0,0,IF(INDEX(Ltbl[Context],rTbl[[#This Row],[listlu]],1)="ALL",1,2))</f>
        <v>1</v>
      </c>
      <c r="Q31" t="str">
        <f ca="1">IF(ROW()=3,IF(rTbl[[#This Row],[LT]]="H",rTbl[[#This Row],[Field]]&amp;"|","|"),IF(rTbl[[#This Row],[LT]]="H",rTbl[[#This Row],[Field]]&amp;"|"&amp;OFFSET(rTbl[[#This Row],[Hierarchy]],-1,0),IF(rTbl[[#This Row],[LT]]&lt;&gt;"!H",OFFSET(rTbl[[#This Row],[Hierarchy]],-1,0),RIGHT(OFFSET(rTbl[[#This Row],[Hierarchy]],-1,0),LEN(OFFSET(rTbl[[#This Row],[Hierarchy]],-1,0))-LEN(rTbl[[#This Row],[Field]])-1))))</f>
        <v>Pmetrics|</v>
      </c>
      <c r="R31">
        <f ca="1">FIND("~",SUBSTITUTE(rTbl[[#This Row],[Hierarchy]],"|","~",1))</f>
        <v>9</v>
      </c>
      <c r="S31" t="e">
        <f ca="1">FIND("~",SUBSTITUTE(rTbl[[#This Row],[Hierarchy]],"|","~",2))</f>
        <v>#VALUE!</v>
      </c>
    </row>
    <row r="32" spans="1:19">
      <c r="A32" t="s">
        <v>483</v>
      </c>
      <c r="B32" s="15" t="s">
        <v>28</v>
      </c>
      <c r="C32" t="s">
        <v>321</v>
      </c>
      <c r="D32" t="s">
        <v>84</v>
      </c>
      <c r="E32" s="1"/>
      <c r="F32" s="1">
        <v>1</v>
      </c>
      <c r="G32" s="1"/>
      <c r="H32" s="1"/>
      <c r="I32" s="1" t="s">
        <v>215</v>
      </c>
      <c r="J32" s="25" t="s">
        <v>492</v>
      </c>
      <c r="K32" s="28" t="s">
        <v>86</v>
      </c>
      <c r="L32" t="str">
        <f ca="1">IFERROR(IF(rTbl[[#This Row],[LT]]="H",MID(rTbl[[#This Row],[Hierarchy]],rTbl[[#This Row],[Pipe1]]+1,rTbl[[#This Row],[Pipe2]]-rTbl[[#This Row],[Pipe1]]-1),LEFT(rTbl[[#This Row],[Hierarchy]],FIND("|",rTbl[[#This Row],[Hierarchy]])-1)),"")</f>
        <v>Pmetrics</v>
      </c>
      <c r="M32">
        <f ca="1">IF(ROW()=3,0,OFFSET(rTbl[[#This Row],[Lev]],-1,0)+IF(OFFSET(rTbl[[#This Row],[LT]],-1,0)="H",1,IF(rTbl[[#This Row],[LT]]="!H",-1,0)))</f>
        <v>1</v>
      </c>
      <c r="N32">
        <f>IF(RIGHT(rTbl[[#This Row],[valid]],4)&lt;&gt;"list",0,IFERROR(MATCH(rTbl[[#This Row],[Context]]&amp;"|"&amp;rTbl[[#This Row],[Field]],Ltbl[ind],0),IFERROR(MATCH("ALL|"&amp;rTbl[[#This Row],[Field]],Ltbl[ind],0),-1)))</f>
        <v>0</v>
      </c>
      <c r="O32" t="str">
        <f t="array" ref="O32">IF(rTbl[[#This Row],[listlu]]&lt;1,"",IF(INDEX(Ltbl[Generic],rTbl[[#This Row],[listlu]])="","",INDEX(Ltbl[Generic],rTbl[[#This Row],[listlu]])))</f>
        <v/>
      </c>
      <c r="P32" cm="1">
        <f t="array" ref="P32">IF(rTbl[[#This Row],[listlu]]=0,0,IF(INDEX(Ltbl[Context],rTbl[[#This Row],[listlu]],1)="ALL",1,2))</f>
        <v>0</v>
      </c>
      <c r="Q32" t="str">
        <f ca="1">IF(ROW()=3,IF(rTbl[[#This Row],[LT]]="H",rTbl[[#This Row],[Field]]&amp;"|","|"),IF(rTbl[[#This Row],[LT]]="H",rTbl[[#This Row],[Field]]&amp;"|"&amp;OFFSET(rTbl[[#This Row],[Hierarchy]],-1,0),IF(rTbl[[#This Row],[LT]]&lt;&gt;"!H",OFFSET(rTbl[[#This Row],[Hierarchy]],-1,0),RIGHT(OFFSET(rTbl[[#This Row],[Hierarchy]],-1,0),LEN(OFFSET(rTbl[[#This Row],[Hierarchy]],-1,0))-LEN(rTbl[[#This Row],[Field]])-1))))</f>
        <v>Pmetrics|</v>
      </c>
      <c r="R32">
        <f ca="1">FIND("~",SUBSTITUTE(rTbl[[#This Row],[Hierarchy]],"|","~",1))</f>
        <v>9</v>
      </c>
      <c r="S32" t="e">
        <f ca="1">FIND("~",SUBSTITUTE(rTbl[[#This Row],[Hierarchy]],"|","~",2))</f>
        <v>#VALUE!</v>
      </c>
    </row>
    <row r="33" spans="1:19">
      <c r="A33" t="s">
        <v>483</v>
      </c>
      <c r="B33" s="15" t="s">
        <v>28</v>
      </c>
      <c r="C33" t="s">
        <v>493</v>
      </c>
      <c r="D33" t="s">
        <v>30</v>
      </c>
      <c r="E33" s="1">
        <v>20</v>
      </c>
      <c r="F33" s="1" t="s">
        <v>385</v>
      </c>
      <c r="G33" s="1"/>
      <c r="H33" s="1"/>
      <c r="I33" s="1"/>
      <c r="J33" s="25" t="s">
        <v>494</v>
      </c>
      <c r="K33" s="28" t="s">
        <v>495</v>
      </c>
      <c r="L33" t="str">
        <f ca="1">IFERROR(IF(rTbl[[#This Row],[LT]]="H",MID(rTbl[[#This Row],[Hierarchy]],rTbl[[#This Row],[Pipe1]]+1,rTbl[[#This Row],[Pipe2]]-rTbl[[#This Row],[Pipe1]]-1),LEFT(rTbl[[#This Row],[Hierarchy]],FIND("|",rTbl[[#This Row],[Hierarchy]])-1)),"")</f>
        <v>Pmetrics</v>
      </c>
      <c r="M33">
        <f ca="1">IF(ROW()=3,0,OFFSET(rTbl[[#This Row],[Lev]],-1,0)+IF(OFFSET(rTbl[[#This Row],[LT]],-1,0)="H",1,IF(rTbl[[#This Row],[LT]]="!H",-1,0)))</f>
        <v>1</v>
      </c>
      <c r="N33">
        <f>IF(RIGHT(rTbl[[#This Row],[valid]],4)&lt;&gt;"list",0,IFERROR(MATCH(rTbl[[#This Row],[Context]]&amp;"|"&amp;rTbl[[#This Row],[Field]],Ltbl[ind],0),IFERROR(MATCH("ALL|"&amp;rTbl[[#This Row],[Field]],Ltbl[ind],0),-1)))</f>
        <v>0</v>
      </c>
      <c r="O33" t="str" cm="1">
        <f t="array" ref="O33">IF(rTbl[[#This Row],[listlu]]&lt;1,"",IF(INDEX(Ltbl[Generic],rTbl[[#This Row],[listlu]])="","",INDEX(Ltbl[Generic],rTbl[[#This Row],[listlu]])))</f>
        <v/>
      </c>
      <c r="P33" cm="1">
        <f t="array" ref="P33">IF(rTbl[[#This Row],[listlu]]=0,0,IF(INDEX(Ltbl[Context],rTbl[[#This Row],[listlu]],1)="ALL",1,2))</f>
        <v>0</v>
      </c>
      <c r="Q33" t="str">
        <f ca="1">IF(ROW()=3,IF(rTbl[[#This Row],[LT]]="H",rTbl[[#This Row],[Field]]&amp;"|","|"),IF(rTbl[[#This Row],[LT]]="H",rTbl[[#This Row],[Field]]&amp;"|"&amp;OFFSET(rTbl[[#This Row],[Hierarchy]],-1,0),IF(rTbl[[#This Row],[LT]]&lt;&gt;"!H",OFFSET(rTbl[[#This Row],[Hierarchy]],-1,0),RIGHT(OFFSET(rTbl[[#This Row],[Hierarchy]],-1,0),LEN(OFFSET(rTbl[[#This Row],[Hierarchy]],-1,0))-LEN(rTbl[[#This Row],[Field]])-1))))</f>
        <v>Pmetrics|</v>
      </c>
      <c r="R33">
        <f ca="1">FIND("~",SUBSTITUTE(rTbl[[#This Row],[Hierarchy]],"|","~",1))</f>
        <v>9</v>
      </c>
      <c r="S33" t="e">
        <f ca="1">FIND("~",SUBSTITUTE(rTbl[[#This Row],[Hierarchy]],"|","~",2))</f>
        <v>#VALUE!</v>
      </c>
    </row>
    <row r="34" spans="1:19">
      <c r="A34" t="s">
        <v>483</v>
      </c>
      <c r="B34" s="15" t="s">
        <v>28</v>
      </c>
      <c r="C34" t="s">
        <v>259</v>
      </c>
      <c r="D34" t="s">
        <v>133</v>
      </c>
      <c r="E34" s="1"/>
      <c r="F34" s="1">
        <v>0</v>
      </c>
      <c r="G34" s="1"/>
      <c r="H34" s="1"/>
      <c r="I34" s="1"/>
      <c r="J34" s="19" t="s">
        <v>260</v>
      </c>
      <c r="K34" s="28" t="s">
        <v>496</v>
      </c>
      <c r="L34" t="str">
        <f ca="1">IFERROR(IF(rTbl[[#This Row],[LT]]="H",MID(rTbl[[#This Row],[Hierarchy]],rTbl[[#This Row],[Pipe1]]+1,rTbl[[#This Row],[Pipe2]]-rTbl[[#This Row],[Pipe1]]-1),LEFT(rTbl[[#This Row],[Hierarchy]],FIND("|",rTbl[[#This Row],[Hierarchy]])-1)),"")</f>
        <v>Pmetrics</v>
      </c>
      <c r="M34">
        <f ca="1">IF(ROW()=3,0,OFFSET(rTbl[[#This Row],[Lev]],-1,0)+IF(OFFSET(rTbl[[#This Row],[LT]],-1,0)="H",1,IF(rTbl[[#This Row],[LT]]="!H",-1,0)))</f>
        <v>1</v>
      </c>
      <c r="N34">
        <f>IF(RIGHT(rTbl[[#This Row],[valid]],4)&lt;&gt;"list",0,IFERROR(MATCH(rTbl[[#This Row],[Context]]&amp;"|"&amp;rTbl[[#This Row],[Field]],Ltbl[ind],0),IFERROR(MATCH("ALL|"&amp;rTbl[[#This Row],[Field]],Ltbl[ind],0),-1)))</f>
        <v>0</v>
      </c>
      <c r="O34" t="str">
        <f t="array" ref="O34">IF(rTbl[[#This Row],[listlu]]&lt;1,"",IF(INDEX(Ltbl[Generic],rTbl[[#This Row],[listlu]])="","",INDEX(Ltbl[Generic],rTbl[[#This Row],[listlu]])))</f>
        <v/>
      </c>
      <c r="P34" cm="1">
        <f t="array" ref="P34">IF(rTbl[[#This Row],[listlu]]=0,0,IF(INDEX(Ltbl[Context],rTbl[[#This Row],[listlu]],1)="ALL",1,2))</f>
        <v>0</v>
      </c>
      <c r="Q34" t="str">
        <f ca="1">IF(ROW()=3,IF(rTbl[[#This Row],[LT]]="H",rTbl[[#This Row],[Field]]&amp;"|","|"),IF(rTbl[[#This Row],[LT]]="H",rTbl[[#This Row],[Field]]&amp;"|"&amp;OFFSET(rTbl[[#This Row],[Hierarchy]],-1,0),IF(rTbl[[#This Row],[LT]]&lt;&gt;"!H",OFFSET(rTbl[[#This Row],[Hierarchy]],-1,0),RIGHT(OFFSET(rTbl[[#This Row],[Hierarchy]],-1,0),LEN(OFFSET(rTbl[[#This Row],[Hierarchy]],-1,0))-LEN(rTbl[[#This Row],[Field]])-1))))</f>
        <v>Pmetrics|</v>
      </c>
      <c r="R34">
        <f ca="1">FIND("~",SUBSTITUTE(rTbl[[#This Row],[Hierarchy]],"|","~",1))</f>
        <v>9</v>
      </c>
      <c r="S34" t="e">
        <f ca="1">FIND("~",SUBSTITUTE(rTbl[[#This Row],[Hierarchy]],"|","~",2))</f>
        <v>#VALUE!</v>
      </c>
    </row>
    <row r="35" spans="1:19">
      <c r="A35" t="s">
        <v>483</v>
      </c>
      <c r="B35" s="15" t="s">
        <v>28</v>
      </c>
      <c r="C35" t="s">
        <v>265</v>
      </c>
      <c r="D35" t="s">
        <v>133</v>
      </c>
      <c r="E35" s="1"/>
      <c r="F35" s="1">
        <v>0</v>
      </c>
      <c r="G35" s="1"/>
      <c r="H35" s="1"/>
      <c r="I35" s="1"/>
      <c r="J35" s="19" t="s">
        <v>266</v>
      </c>
      <c r="K35" s="28">
        <v>2.5</v>
      </c>
      <c r="L35" t="str">
        <f ca="1">IFERROR(IF(rTbl[[#This Row],[LT]]="H",MID(rTbl[[#This Row],[Hierarchy]],rTbl[[#This Row],[Pipe1]]+1,rTbl[[#This Row],[Pipe2]]-rTbl[[#This Row],[Pipe1]]-1),LEFT(rTbl[[#This Row],[Hierarchy]],FIND("|",rTbl[[#This Row],[Hierarchy]])-1)),"")</f>
        <v>Pmetrics</v>
      </c>
      <c r="M35">
        <f ca="1">IF(ROW()=3,0,OFFSET(rTbl[[#This Row],[Lev]],-1,0)+IF(OFFSET(rTbl[[#This Row],[LT]],-1,0)="H",1,IF(rTbl[[#This Row],[LT]]="!H",-1,0)))</f>
        <v>1</v>
      </c>
      <c r="N35">
        <f>IF(RIGHT(rTbl[[#This Row],[valid]],4)&lt;&gt;"list",0,IFERROR(MATCH(rTbl[[#This Row],[Context]]&amp;"|"&amp;rTbl[[#This Row],[Field]],Ltbl[ind],0),IFERROR(MATCH("ALL|"&amp;rTbl[[#This Row],[Field]],Ltbl[ind],0),-1)))</f>
        <v>0</v>
      </c>
      <c r="O35" t="str">
        <f t="array" ref="O35">IF(rTbl[[#This Row],[listlu]]&lt;1,"",IF(INDEX(Ltbl[Generic],rTbl[[#This Row],[listlu]])="","",INDEX(Ltbl[Generic],rTbl[[#This Row],[listlu]])))</f>
        <v/>
      </c>
      <c r="P35" cm="1">
        <f t="array" ref="P35">IF(rTbl[[#This Row],[listlu]]=0,0,IF(INDEX(Ltbl[Context],rTbl[[#This Row],[listlu]],1)="ALL",1,2))</f>
        <v>0</v>
      </c>
      <c r="Q35" t="str">
        <f ca="1">IF(ROW()=3,IF(rTbl[[#This Row],[LT]]="H",rTbl[[#This Row],[Field]]&amp;"|","|"),IF(rTbl[[#This Row],[LT]]="H",rTbl[[#This Row],[Field]]&amp;"|"&amp;OFFSET(rTbl[[#This Row],[Hierarchy]],-1,0),IF(rTbl[[#This Row],[LT]]&lt;&gt;"!H",OFFSET(rTbl[[#This Row],[Hierarchy]],-1,0),RIGHT(OFFSET(rTbl[[#This Row],[Hierarchy]],-1,0),LEN(OFFSET(rTbl[[#This Row],[Hierarchy]],-1,0))-LEN(rTbl[[#This Row],[Field]])-1))))</f>
        <v>Pmetrics|</v>
      </c>
      <c r="R35">
        <f ca="1">FIND("~",SUBSTITUTE(rTbl[[#This Row],[Hierarchy]],"|","~",1))</f>
        <v>9</v>
      </c>
      <c r="S35" t="e">
        <f ca="1">FIND("~",SUBSTITUTE(rTbl[[#This Row],[Hierarchy]],"|","~",2))</f>
        <v>#VALUE!</v>
      </c>
    </row>
    <row r="36" spans="1:19">
      <c r="A36" t="s">
        <v>483</v>
      </c>
      <c r="B36" s="15" t="s">
        <v>28</v>
      </c>
      <c r="C36" t="s">
        <v>262</v>
      </c>
      <c r="D36" t="s">
        <v>133</v>
      </c>
      <c r="E36" s="1"/>
      <c r="F36" s="1">
        <v>0</v>
      </c>
      <c r="G36" s="1"/>
      <c r="H36" s="1"/>
      <c r="I36" s="1"/>
      <c r="J36" s="19" t="s">
        <v>263</v>
      </c>
      <c r="K36" s="28">
        <v>4.24</v>
      </c>
      <c r="L36" t="str">
        <f ca="1">IFERROR(IF(rTbl[[#This Row],[LT]]="H",MID(rTbl[[#This Row],[Hierarchy]],rTbl[[#This Row],[Pipe1]]+1,rTbl[[#This Row],[Pipe2]]-rTbl[[#This Row],[Pipe1]]-1),LEFT(rTbl[[#This Row],[Hierarchy]],FIND("|",rTbl[[#This Row],[Hierarchy]])-1)),"")</f>
        <v>Pmetrics</v>
      </c>
      <c r="M36">
        <f ca="1">IF(ROW()=3,0,OFFSET(rTbl[[#This Row],[Lev]],-1,0)+IF(OFFSET(rTbl[[#This Row],[LT]],-1,0)="H",1,IF(rTbl[[#This Row],[LT]]="!H",-1,0)))</f>
        <v>1</v>
      </c>
      <c r="N36">
        <f>IF(RIGHT(rTbl[[#This Row],[valid]],4)&lt;&gt;"list",0,IFERROR(MATCH(rTbl[[#This Row],[Context]]&amp;"|"&amp;rTbl[[#This Row],[Field]],Ltbl[ind],0),IFERROR(MATCH("ALL|"&amp;rTbl[[#This Row],[Field]],Ltbl[ind],0),-1)))</f>
        <v>0</v>
      </c>
      <c r="O36" t="str">
        <f t="array" ref="O36">IF(rTbl[[#This Row],[listlu]]&lt;1,"",IF(INDEX(Ltbl[Generic],rTbl[[#This Row],[listlu]])="","",INDEX(Ltbl[Generic],rTbl[[#This Row],[listlu]])))</f>
        <v/>
      </c>
      <c r="P36" cm="1">
        <f t="array" ref="P36">IF(rTbl[[#This Row],[listlu]]=0,0,IF(INDEX(Ltbl[Context],rTbl[[#This Row],[listlu]],1)="ALL",1,2))</f>
        <v>0</v>
      </c>
      <c r="Q36" t="str">
        <f ca="1">IF(ROW()=3,IF(rTbl[[#This Row],[LT]]="H",rTbl[[#This Row],[Field]]&amp;"|","|"),IF(rTbl[[#This Row],[LT]]="H",rTbl[[#This Row],[Field]]&amp;"|"&amp;OFFSET(rTbl[[#This Row],[Hierarchy]],-1,0),IF(rTbl[[#This Row],[LT]]&lt;&gt;"!H",OFFSET(rTbl[[#This Row],[Hierarchy]],-1,0),RIGHT(OFFSET(rTbl[[#This Row],[Hierarchy]],-1,0),LEN(OFFSET(rTbl[[#This Row],[Hierarchy]],-1,0))-LEN(rTbl[[#This Row],[Field]])-1))))</f>
        <v>Pmetrics|</v>
      </c>
      <c r="R36">
        <f ca="1">FIND("~",SUBSTITUTE(rTbl[[#This Row],[Hierarchy]],"|","~",1))</f>
        <v>9</v>
      </c>
      <c r="S36" t="e">
        <f ca="1">FIND("~",SUBSTITUTE(rTbl[[#This Row],[Hierarchy]],"|","~",2))</f>
        <v>#VALUE!</v>
      </c>
    </row>
    <row r="37" spans="1:19">
      <c r="A37" t="s">
        <v>483</v>
      </c>
      <c r="B37" s="15" t="s">
        <v>28</v>
      </c>
      <c r="C37" t="s">
        <v>497</v>
      </c>
      <c r="D37" t="s">
        <v>133</v>
      </c>
      <c r="E37" s="1"/>
      <c r="F37" s="1">
        <v>0</v>
      </c>
      <c r="G37" s="1"/>
      <c r="H37" s="1"/>
      <c r="I37" s="1"/>
      <c r="J37" s="19" t="s">
        <v>498</v>
      </c>
      <c r="K37" s="28" t="s">
        <v>499</v>
      </c>
      <c r="L37" t="str">
        <f ca="1">IFERROR(IF(rTbl[[#This Row],[LT]]="H",MID(rTbl[[#This Row],[Hierarchy]],rTbl[[#This Row],[Pipe1]]+1,rTbl[[#This Row],[Pipe2]]-rTbl[[#This Row],[Pipe1]]-1),LEFT(rTbl[[#This Row],[Hierarchy]],FIND("|",rTbl[[#This Row],[Hierarchy]])-1)),"")</f>
        <v>Pmetrics</v>
      </c>
      <c r="M37">
        <f ca="1">IF(ROW()=3,0,OFFSET(rTbl[[#This Row],[Lev]],-1,0)+IF(OFFSET(rTbl[[#This Row],[LT]],-1,0)="H",1,IF(rTbl[[#This Row],[LT]]="!H",-1,0)))</f>
        <v>1</v>
      </c>
      <c r="N37">
        <f>IF(RIGHT(rTbl[[#This Row],[valid]],4)&lt;&gt;"list",0,IFERROR(MATCH(rTbl[[#This Row],[Context]]&amp;"|"&amp;rTbl[[#This Row],[Field]],Ltbl[ind],0),IFERROR(MATCH("ALL|"&amp;rTbl[[#This Row],[Field]],Ltbl[ind],0),-1)))</f>
        <v>0</v>
      </c>
      <c r="O37" t="str">
        <f t="array" ref="O37">IF(rTbl[[#This Row],[listlu]]&lt;1,"",IF(INDEX(Ltbl[Generic],rTbl[[#This Row],[listlu]])="","",INDEX(Ltbl[Generic],rTbl[[#This Row],[listlu]])))</f>
        <v/>
      </c>
      <c r="P37" cm="1">
        <f t="array" ref="P37">IF(rTbl[[#This Row],[listlu]]=0,0,IF(INDEX(Ltbl[Context],rTbl[[#This Row],[listlu]],1)="ALL",1,2))</f>
        <v>0</v>
      </c>
      <c r="Q37" t="str">
        <f ca="1">IF(ROW()=3,IF(rTbl[[#This Row],[LT]]="H",rTbl[[#This Row],[Field]]&amp;"|","|"),IF(rTbl[[#This Row],[LT]]="H",rTbl[[#This Row],[Field]]&amp;"|"&amp;OFFSET(rTbl[[#This Row],[Hierarchy]],-1,0),IF(rTbl[[#This Row],[LT]]&lt;&gt;"!H",OFFSET(rTbl[[#This Row],[Hierarchy]],-1,0),RIGHT(OFFSET(rTbl[[#This Row],[Hierarchy]],-1,0),LEN(OFFSET(rTbl[[#This Row],[Hierarchy]],-1,0))-LEN(rTbl[[#This Row],[Field]])-1))))</f>
        <v>Pmetrics|</v>
      </c>
      <c r="R37">
        <f ca="1">FIND("~",SUBSTITUTE(rTbl[[#This Row],[Hierarchy]],"|","~",1))</f>
        <v>9</v>
      </c>
      <c r="S37" t="e">
        <f ca="1">FIND("~",SUBSTITUTE(rTbl[[#This Row],[Hierarchy]],"|","~",2))</f>
        <v>#VALUE!</v>
      </c>
    </row>
    <row r="38" spans="1:19">
      <c r="A38" t="s">
        <v>483</v>
      </c>
      <c r="B38" s="15" t="s">
        <v>28</v>
      </c>
      <c r="C38" t="s">
        <v>500</v>
      </c>
      <c r="D38" t="s">
        <v>133</v>
      </c>
      <c r="E38" s="1"/>
      <c r="F38" s="1">
        <v>0</v>
      </c>
      <c r="G38" s="1"/>
      <c r="H38" s="1"/>
      <c r="I38" s="1"/>
      <c r="J38" s="19" t="s">
        <v>501</v>
      </c>
      <c r="K38" s="28" t="s">
        <v>502</v>
      </c>
      <c r="L38" t="str">
        <f ca="1">IFERROR(IF(rTbl[[#This Row],[LT]]="H",MID(rTbl[[#This Row],[Hierarchy]],rTbl[[#This Row],[Pipe1]]+1,rTbl[[#This Row],[Pipe2]]-rTbl[[#This Row],[Pipe1]]-1),LEFT(rTbl[[#This Row],[Hierarchy]],FIND("|",rTbl[[#This Row],[Hierarchy]])-1)),"")</f>
        <v>Pmetrics</v>
      </c>
      <c r="M38">
        <f ca="1">IF(ROW()=3,0,OFFSET(rTbl[[#This Row],[Lev]],-1,0)+IF(OFFSET(rTbl[[#This Row],[LT]],-1,0)="H",1,IF(rTbl[[#This Row],[LT]]="!H",-1,0)))</f>
        <v>1</v>
      </c>
      <c r="N38">
        <f>IF(RIGHT(rTbl[[#This Row],[valid]],4)&lt;&gt;"list",0,IFERROR(MATCH(rTbl[[#This Row],[Context]]&amp;"|"&amp;rTbl[[#This Row],[Field]],Ltbl[ind],0),IFERROR(MATCH("ALL|"&amp;rTbl[[#This Row],[Field]],Ltbl[ind],0),-1)))</f>
        <v>0</v>
      </c>
      <c r="O38" t="str">
        <f t="array" ref="O38">IF(rTbl[[#This Row],[listlu]]&lt;1,"",IF(INDEX(Ltbl[Generic],rTbl[[#This Row],[listlu]])="","",INDEX(Ltbl[Generic],rTbl[[#This Row],[listlu]])))</f>
        <v/>
      </c>
      <c r="P38" cm="1">
        <f t="array" ref="P38">IF(rTbl[[#This Row],[listlu]]=0,0,IF(INDEX(Ltbl[Context],rTbl[[#This Row],[listlu]],1)="ALL",1,2))</f>
        <v>0</v>
      </c>
      <c r="Q38" t="str">
        <f ca="1">IF(ROW()=3,IF(rTbl[[#This Row],[LT]]="H",rTbl[[#This Row],[Field]]&amp;"|","|"),IF(rTbl[[#This Row],[LT]]="H",rTbl[[#This Row],[Field]]&amp;"|"&amp;OFFSET(rTbl[[#This Row],[Hierarchy]],-1,0),IF(rTbl[[#This Row],[LT]]&lt;&gt;"!H",OFFSET(rTbl[[#This Row],[Hierarchy]],-1,0),RIGHT(OFFSET(rTbl[[#This Row],[Hierarchy]],-1,0),LEN(OFFSET(rTbl[[#This Row],[Hierarchy]],-1,0))-LEN(rTbl[[#This Row],[Field]])-1))))</f>
        <v>Pmetrics|</v>
      </c>
      <c r="R38">
        <f ca="1">FIND("~",SUBSTITUTE(rTbl[[#This Row],[Hierarchy]],"|","~",1))</f>
        <v>9</v>
      </c>
      <c r="S38" t="e">
        <f ca="1">FIND("~",SUBSTITUTE(rTbl[[#This Row],[Hierarchy]],"|","~",2))</f>
        <v>#VALUE!</v>
      </c>
    </row>
    <row r="39" spans="1:19">
      <c r="A39" t="s">
        <v>483</v>
      </c>
      <c r="B39" s="15" t="s">
        <v>177</v>
      </c>
      <c r="C39" t="s">
        <v>503</v>
      </c>
      <c r="E39" s="1"/>
      <c r="F39" s="1"/>
      <c r="G39" s="1"/>
      <c r="H39" s="1"/>
      <c r="I39" s="1"/>
      <c r="J39" s="19"/>
      <c r="K39" s="28"/>
      <c r="L39" t="str">
        <f ca="1">IFERROR(IF(rTbl[[#This Row],[LT]]="H",MID(rTbl[[#This Row],[Hierarchy]],rTbl[[#This Row],[Pipe1]]+1,rTbl[[#This Row],[Pipe2]]-rTbl[[#This Row],[Pipe1]]-1),LEFT(rTbl[[#This Row],[Hierarchy]],FIND("|",rTbl[[#This Row],[Hierarchy]])-1)),"")</f>
        <v/>
      </c>
      <c r="M39">
        <f ca="1">IF(ROW()=3,0,OFFSET(rTbl[[#This Row],[Lev]],-1,0)+IF(OFFSET(rTbl[[#This Row],[LT]],-1,0)="H",1,IF(rTbl[[#This Row],[LT]]="!H",-1,0)))</f>
        <v>0</v>
      </c>
      <c r="N39">
        <f>IF(RIGHT(rTbl[[#This Row],[valid]],4)&lt;&gt;"list",0,IFERROR(MATCH(rTbl[[#This Row],[Context]]&amp;"|"&amp;rTbl[[#This Row],[Field]],Ltbl[ind],0),IFERROR(MATCH("ALL|"&amp;rTbl[[#This Row],[Field]],Ltbl[ind],0),-1)))</f>
        <v>0</v>
      </c>
      <c r="O39" t="str">
        <f t="array" ref="O39">IF(rTbl[[#This Row],[listlu]]&lt;1,"",IF(INDEX(Ltbl[Generic],rTbl[[#This Row],[listlu]])="","",INDEX(Ltbl[Generic],rTbl[[#This Row],[listlu]])))</f>
        <v/>
      </c>
      <c r="P39" cm="1">
        <f t="array" ref="P39">IF(rTbl[[#This Row],[listlu]]=0,0,IF(INDEX(Ltbl[Context],rTbl[[#This Row],[listlu]],1)="ALL",1,2))</f>
        <v>0</v>
      </c>
      <c r="Q39" t="str">
        <f ca="1">IF(ROW()=3,IF(rTbl[[#This Row],[LT]]="H",rTbl[[#This Row],[Field]]&amp;"|","|"),IF(rTbl[[#This Row],[LT]]="H",rTbl[[#This Row],[Field]]&amp;"|"&amp;OFFSET(rTbl[[#This Row],[Hierarchy]],-1,0),IF(rTbl[[#This Row],[LT]]&lt;&gt;"!H",OFFSET(rTbl[[#This Row],[Hierarchy]],-1,0),RIGHT(OFFSET(rTbl[[#This Row],[Hierarchy]],-1,0),LEN(OFFSET(rTbl[[#This Row],[Hierarchy]],-1,0))-LEN(rTbl[[#This Row],[Field]])-1))))</f>
        <v/>
      </c>
      <c r="R39" t="e">
        <f ca="1">FIND("~",SUBSTITUTE(rTbl[[#This Row],[Hierarchy]],"|","~",1))</f>
        <v>#VALUE!</v>
      </c>
      <c r="S39" t="e">
        <f ca="1">FIND("~",SUBSTITUTE(rTbl[[#This Row],[Hierarchy]],"|","~",2))</f>
        <v>#VALUE!</v>
      </c>
    </row>
    <row r="40" spans="1:19">
      <c r="B40" s="15"/>
      <c r="E40" s="1"/>
      <c r="F40" s="1"/>
      <c r="G40" s="1"/>
      <c r="H40" s="1"/>
      <c r="I40" s="1"/>
      <c r="J40" s="19"/>
      <c r="K40" s="28"/>
      <c r="L40" t="str">
        <f ca="1">IFERROR(IF(rTbl[[#This Row],[LT]]="H",MID(rTbl[[#This Row],[Hierarchy]],rTbl[[#This Row],[Pipe1]]+1,rTbl[[#This Row],[Pipe2]]-rTbl[[#This Row],[Pipe1]]-1),LEFT(rTbl[[#This Row],[Hierarchy]],FIND("|",rTbl[[#This Row],[Hierarchy]])-1)),"")</f>
        <v/>
      </c>
      <c r="M40">
        <f ca="1">IF(ROW()=3,0,OFFSET(rTbl[[#This Row],[Lev]],-1,0)+IF(OFFSET(rTbl[[#This Row],[LT]],-1,0)="H",1,IF(rTbl[[#This Row],[LT]]="!H",-1,0)))</f>
        <v>0</v>
      </c>
      <c r="N40">
        <f>IF(RIGHT(rTbl[[#This Row],[valid]],4)&lt;&gt;"list",0,IFERROR(MATCH(rTbl[[#This Row],[Context]]&amp;"|"&amp;rTbl[[#This Row],[Field]],Ltbl[ind],0),IFERROR(MATCH("ALL|"&amp;rTbl[[#This Row],[Field]],Ltbl[ind],0),-1)))</f>
        <v>0</v>
      </c>
      <c r="O40" t="str" cm="1">
        <f t="array" ref="O40">IF(rTbl[[#This Row],[listlu]]&lt;1,"",IF(INDEX(Ltbl[Generic],rTbl[[#This Row],[listlu]])="","",INDEX(Ltbl[Generic],rTbl[[#This Row],[listlu]])))</f>
        <v/>
      </c>
      <c r="P40" cm="1">
        <f t="array" ref="P40">IF(rTbl[[#This Row],[listlu]]=0,0,IF(INDEX(Ltbl[Context],rTbl[[#This Row],[listlu]],1)="ALL",1,2))</f>
        <v>0</v>
      </c>
      <c r="Q40" t="str">
        <f ca="1">IF(ROW()=3,IF(rTbl[[#This Row],[LT]]="H",rTbl[[#This Row],[Field]]&amp;"|","|"),IF(rTbl[[#This Row],[LT]]="H",rTbl[[#This Row],[Field]]&amp;"|"&amp;OFFSET(rTbl[[#This Row],[Hierarchy]],-1,0),IF(rTbl[[#This Row],[LT]]&lt;&gt;"!H",OFFSET(rTbl[[#This Row],[Hierarchy]],-1,0),RIGHT(OFFSET(rTbl[[#This Row],[Hierarchy]],-1,0),LEN(OFFSET(rTbl[[#This Row],[Hierarchy]],-1,0))-LEN(rTbl[[#This Row],[Field]])-1))))</f>
        <v/>
      </c>
      <c r="R40" t="e">
        <f ca="1">FIND("~",SUBSTITUTE(rTbl[[#This Row],[Hierarchy]],"|","~",1))</f>
        <v>#VALUE!</v>
      </c>
      <c r="S40" t="e">
        <f ca="1">FIND("~",SUBSTITUTE(rTbl[[#This Row],[Hierarchy]],"|","~",2))</f>
        <v>#VALUE!</v>
      </c>
    </row>
    <row r="41" spans="1:19">
      <c r="A41" t="s">
        <v>380</v>
      </c>
      <c r="B41" s="15" t="s">
        <v>21</v>
      </c>
      <c r="C41" t="s">
        <v>504</v>
      </c>
      <c r="E41" s="1"/>
      <c r="F41" s="1">
        <v>0</v>
      </c>
      <c r="G41" s="1" t="s">
        <v>23</v>
      </c>
      <c r="H41" s="1"/>
      <c r="I41" s="1"/>
      <c r="J41" s="19"/>
      <c r="K41" s="28"/>
      <c r="L41" t="str">
        <f ca="1">IFERROR(IF(rTbl[[#This Row],[LT]]="H",MID(rTbl[[#This Row],[Hierarchy]],rTbl[[#This Row],[Pipe1]]+1,rTbl[[#This Row],[Pipe2]]-rTbl[[#This Row],[Pipe1]]-1),LEFT(rTbl[[#This Row],[Hierarchy]],FIND("|",rTbl[[#This Row],[Hierarchy]])-1)),"")</f>
        <v/>
      </c>
      <c r="M41">
        <f ca="1">IF(ROW()=3,0,OFFSET(rTbl[[#This Row],[Lev]],-1,0)+IF(OFFSET(rTbl[[#This Row],[LT]],-1,0)="H",1,IF(rTbl[[#This Row],[LT]]="!H",-1,0)))</f>
        <v>0</v>
      </c>
      <c r="N41">
        <f>IF(RIGHT(rTbl[[#This Row],[valid]],4)&lt;&gt;"list",0,IFERROR(MATCH(rTbl[[#This Row],[Context]]&amp;"|"&amp;rTbl[[#This Row],[Field]],Ltbl[ind],0),IFERROR(MATCH("ALL|"&amp;rTbl[[#This Row],[Field]],Ltbl[ind],0),-1)))</f>
        <v>0</v>
      </c>
      <c r="O41" t="str" cm="1">
        <f t="array" ref="O41">IF(rTbl[[#This Row],[listlu]]&lt;1,"",IF(INDEX(Ltbl[Generic],rTbl[[#This Row],[listlu]])="","",INDEX(Ltbl[Generic],rTbl[[#This Row],[listlu]])))</f>
        <v/>
      </c>
      <c r="P41" cm="1">
        <f t="array" ref="P41">IF(rTbl[[#This Row],[listlu]]=0,0,IF(INDEX(Ltbl[Context],rTbl[[#This Row],[listlu]],1)="ALL",1,2))</f>
        <v>0</v>
      </c>
      <c r="Q41" t="str">
        <f ca="1">IF(ROW()=3,IF(rTbl[[#This Row],[LT]]="H",rTbl[[#This Row],[Field]]&amp;"|","|"),IF(rTbl[[#This Row],[LT]]="H",rTbl[[#This Row],[Field]]&amp;"|"&amp;OFFSET(rTbl[[#This Row],[Hierarchy]],-1,0),IF(rTbl[[#This Row],[LT]]&lt;&gt;"!H",OFFSET(rTbl[[#This Row],[Hierarchy]],-1,0),RIGHT(OFFSET(rTbl[[#This Row],[Hierarchy]],-1,0),LEN(OFFSET(rTbl[[#This Row],[Hierarchy]],-1,0))-LEN(rTbl[[#This Row],[Field]])-1))))</f>
        <v>Aliases|</v>
      </c>
      <c r="R41">
        <f ca="1">FIND("~",SUBSTITUTE(rTbl[[#This Row],[Hierarchy]],"|","~",1))</f>
        <v>8</v>
      </c>
      <c r="S41" t="e">
        <f ca="1">FIND("~",SUBSTITUTE(rTbl[[#This Row],[Hierarchy]],"|","~",2))</f>
        <v>#VALUE!</v>
      </c>
    </row>
    <row r="42" spans="1:19">
      <c r="A42" t="s">
        <v>380</v>
      </c>
      <c r="B42" s="15" t="s">
        <v>28</v>
      </c>
      <c r="C42" t="s">
        <v>505</v>
      </c>
      <c r="D42" t="s">
        <v>30</v>
      </c>
      <c r="E42" s="1">
        <v>5</v>
      </c>
      <c r="F42" s="1">
        <v>1</v>
      </c>
      <c r="G42" s="1"/>
      <c r="H42" s="1"/>
      <c r="I42" s="1" t="s">
        <v>31</v>
      </c>
      <c r="J42" s="19" t="s">
        <v>506</v>
      </c>
      <c r="K42" s="28" t="s">
        <v>507</v>
      </c>
      <c r="L42" t="str">
        <f ca="1">IFERROR(IF(rTbl[[#This Row],[LT]]="H",MID(rTbl[[#This Row],[Hierarchy]],rTbl[[#This Row],[Pipe1]]+1,rTbl[[#This Row],[Pipe2]]-rTbl[[#This Row],[Pipe1]]-1),LEFT(rTbl[[#This Row],[Hierarchy]],FIND("|",rTbl[[#This Row],[Hierarchy]])-1)),"")</f>
        <v>Aliases</v>
      </c>
      <c r="M42">
        <f ca="1">IF(ROW()=3,0,OFFSET(rTbl[[#This Row],[Lev]],-1,0)+IF(OFFSET(rTbl[[#This Row],[LT]],-1,0)="H",1,IF(rTbl[[#This Row],[LT]]="!H",-1,0)))</f>
        <v>1</v>
      </c>
      <c r="N42">
        <f ca="1">IF(RIGHT(rTbl[[#This Row],[valid]],4)&lt;&gt;"list",0,IFERROR(MATCH(rTbl[[#This Row],[Context]]&amp;"|"&amp;rTbl[[#This Row],[Field]],Ltbl[ind],0),IFERROR(MATCH("ALL|"&amp;rTbl[[#This Row],[Field]],Ltbl[ind],0),-1)))</f>
        <v>-1</v>
      </c>
      <c r="O42" t="str" cm="1">
        <f t="array" aca="1" ref="O42" ca="1">IF(rTbl[[#This Row],[listlu]]&lt;1,"",IF(INDEX(Ltbl[Generic],rTbl[[#This Row],[listlu]])="","",INDEX(Ltbl[Generic],rTbl[[#This Row],[listlu]])))</f>
        <v/>
      </c>
      <c r="P42" t="e" cm="1">
        <f t="array" aca="1" ref="P42" ca="1">IF(rTbl[[#This Row],[listlu]]=0,0,IF(INDEX(Ltbl[Context],rTbl[[#This Row],[listlu]],1)="ALL",1,2))</f>
        <v>#VALUE!</v>
      </c>
      <c r="Q42" t="str">
        <f ca="1">IF(ROW()=3,IF(rTbl[[#This Row],[LT]]="H",rTbl[[#This Row],[Field]]&amp;"|","|"),IF(rTbl[[#This Row],[LT]]="H",rTbl[[#This Row],[Field]]&amp;"|"&amp;OFFSET(rTbl[[#This Row],[Hierarchy]],-1,0),IF(rTbl[[#This Row],[LT]]&lt;&gt;"!H",OFFSET(rTbl[[#This Row],[Hierarchy]],-1,0),RIGHT(OFFSET(rTbl[[#This Row],[Hierarchy]],-1,0),LEN(OFFSET(rTbl[[#This Row],[Hierarchy]],-1,0))-LEN(rTbl[[#This Row],[Field]])-1))))</f>
        <v>Aliases|</v>
      </c>
      <c r="R42">
        <f ca="1">FIND("~",SUBSTITUTE(rTbl[[#This Row],[Hierarchy]],"|","~",1))</f>
        <v>8</v>
      </c>
      <c r="S42" t="e">
        <f ca="1">FIND("~",SUBSTITUTE(rTbl[[#This Row],[Hierarchy]],"|","~",2))</f>
        <v>#VALUE!</v>
      </c>
    </row>
    <row r="43" spans="1:19">
      <c r="A43" t="s">
        <v>380</v>
      </c>
      <c r="B43" s="15" t="s">
        <v>28</v>
      </c>
      <c r="C43" t="s">
        <v>508</v>
      </c>
      <c r="D43" t="s">
        <v>30</v>
      </c>
      <c r="E43" s="1">
        <v>50</v>
      </c>
      <c r="F43" s="1">
        <v>1</v>
      </c>
      <c r="G43" s="1"/>
      <c r="H43" s="1"/>
      <c r="I43" s="1"/>
      <c r="J43" s="19" t="s">
        <v>509</v>
      </c>
      <c r="K43" s="28" t="s">
        <v>510</v>
      </c>
      <c r="L43" t="str">
        <f ca="1">IFERROR(IF(rTbl[[#This Row],[LT]]="H",MID(rTbl[[#This Row],[Hierarchy]],rTbl[[#This Row],[Pipe1]]+1,rTbl[[#This Row],[Pipe2]]-rTbl[[#This Row],[Pipe1]]-1),LEFT(rTbl[[#This Row],[Hierarchy]],FIND("|",rTbl[[#This Row],[Hierarchy]])-1)),"")</f>
        <v>Aliases</v>
      </c>
      <c r="M43">
        <f ca="1">IF(ROW()=3,0,OFFSET(rTbl[[#This Row],[Lev]],-1,0)+IF(OFFSET(rTbl[[#This Row],[LT]],-1,0)="H",1,IF(rTbl[[#This Row],[LT]]="!H",-1,0)))</f>
        <v>1</v>
      </c>
      <c r="N43">
        <f>IF(RIGHT(rTbl[[#This Row],[valid]],4)&lt;&gt;"list",0,IFERROR(MATCH(rTbl[[#This Row],[Context]]&amp;"|"&amp;rTbl[[#This Row],[Field]],Ltbl[ind],0),IFERROR(MATCH("ALL|"&amp;rTbl[[#This Row],[Field]],Ltbl[ind],0),-1)))</f>
        <v>0</v>
      </c>
      <c r="O43" t="str" cm="1">
        <f t="array" ref="O43">IF(rTbl[[#This Row],[listlu]]&lt;1,"",IF(INDEX(Ltbl[Generic],rTbl[[#This Row],[listlu]])="","",INDEX(Ltbl[Generic],rTbl[[#This Row],[listlu]])))</f>
        <v/>
      </c>
      <c r="P43" cm="1">
        <f t="array" ref="P43">IF(rTbl[[#This Row],[listlu]]=0,0,IF(INDEX(Ltbl[Context],rTbl[[#This Row],[listlu]],1)="ALL",1,2))</f>
        <v>0</v>
      </c>
      <c r="Q43" t="str">
        <f ca="1">IF(ROW()=3,IF(rTbl[[#This Row],[LT]]="H",rTbl[[#This Row],[Field]]&amp;"|","|"),IF(rTbl[[#This Row],[LT]]="H",rTbl[[#This Row],[Field]]&amp;"|"&amp;OFFSET(rTbl[[#This Row],[Hierarchy]],-1,0),IF(rTbl[[#This Row],[LT]]&lt;&gt;"!H",OFFSET(rTbl[[#This Row],[Hierarchy]],-1,0),RIGHT(OFFSET(rTbl[[#This Row],[Hierarchy]],-1,0),LEN(OFFSET(rTbl[[#This Row],[Hierarchy]],-1,0))-LEN(rTbl[[#This Row],[Field]])-1))))</f>
        <v>Aliases|</v>
      </c>
      <c r="R43">
        <f ca="1">FIND("~",SUBSTITUTE(rTbl[[#This Row],[Hierarchy]],"|","~",1))</f>
        <v>8</v>
      </c>
      <c r="S43" t="e">
        <f ca="1">FIND("~",SUBSTITUTE(rTbl[[#This Row],[Hierarchy]],"|","~",2))</f>
        <v>#VALUE!</v>
      </c>
    </row>
    <row r="44" spans="1:19">
      <c r="A44" t="s">
        <v>380</v>
      </c>
      <c r="B44" s="15" t="s">
        <v>177</v>
      </c>
      <c r="C44" t="s">
        <v>504</v>
      </c>
      <c r="E44" s="1"/>
      <c r="F44" s="1"/>
      <c r="G44" s="1"/>
      <c r="H44" s="1"/>
      <c r="I44" s="1"/>
      <c r="J44" s="19"/>
      <c r="K44" s="28"/>
      <c r="L44" t="str">
        <f ca="1">IFERROR(IF(rTbl[[#This Row],[LT]]="H",MID(rTbl[[#This Row],[Hierarchy]],rTbl[[#This Row],[Pipe1]]+1,rTbl[[#This Row],[Pipe2]]-rTbl[[#This Row],[Pipe1]]-1),LEFT(rTbl[[#This Row],[Hierarchy]],FIND("|",rTbl[[#This Row],[Hierarchy]])-1)),"")</f>
        <v/>
      </c>
      <c r="M44">
        <f ca="1">IF(ROW()=3,0,OFFSET(rTbl[[#This Row],[Lev]],-1,0)+IF(OFFSET(rTbl[[#This Row],[LT]],-1,0)="H",1,IF(rTbl[[#This Row],[LT]]="!H",-1,0)))</f>
        <v>0</v>
      </c>
      <c r="N44">
        <f>IF(RIGHT(rTbl[[#This Row],[valid]],4)&lt;&gt;"list",0,IFERROR(MATCH(rTbl[[#This Row],[Context]]&amp;"|"&amp;rTbl[[#This Row],[Field]],Ltbl[ind],0),IFERROR(MATCH("ALL|"&amp;rTbl[[#This Row],[Field]],Ltbl[ind],0),-1)))</f>
        <v>0</v>
      </c>
      <c r="O44" t="str" cm="1">
        <f t="array" ref="O44">IF(rTbl[[#This Row],[listlu]]&lt;1,"",IF(INDEX(Ltbl[Generic],rTbl[[#This Row],[listlu]])="","",INDEX(Ltbl[Generic],rTbl[[#This Row],[listlu]])))</f>
        <v/>
      </c>
      <c r="P44" cm="1">
        <f t="array" ref="P44">IF(rTbl[[#This Row],[listlu]]=0,0,IF(INDEX(Ltbl[Context],rTbl[[#This Row],[listlu]],1)="ALL",1,2))</f>
        <v>0</v>
      </c>
      <c r="Q44" t="str">
        <f ca="1">IF(ROW()=3,IF(rTbl[[#This Row],[LT]]="H",rTbl[[#This Row],[Field]]&amp;"|","|"),IF(rTbl[[#This Row],[LT]]="H",rTbl[[#This Row],[Field]]&amp;"|"&amp;OFFSET(rTbl[[#This Row],[Hierarchy]],-1,0),IF(rTbl[[#This Row],[LT]]&lt;&gt;"!H",OFFSET(rTbl[[#This Row],[Hierarchy]],-1,0),RIGHT(OFFSET(rTbl[[#This Row],[Hierarchy]],-1,0),LEN(OFFSET(rTbl[[#This Row],[Hierarchy]],-1,0))-LEN(rTbl[[#This Row],[Field]])-1))))</f>
        <v/>
      </c>
      <c r="R44" t="e">
        <f ca="1">FIND("~",SUBSTITUTE(rTbl[[#This Row],[Hierarchy]],"|","~",1))</f>
        <v>#VALUE!</v>
      </c>
      <c r="S44" t="e">
        <f ca="1">FIND("~",SUBSTITUTE(rTbl[[#This Row],[Hierarchy]],"|","~",2))</f>
        <v>#VALUE!</v>
      </c>
    </row>
    <row r="45" spans="1:19">
      <c r="B45" s="15"/>
      <c r="E45" s="1"/>
      <c r="F45" s="1"/>
      <c r="G45" s="1"/>
      <c r="H45" s="1"/>
      <c r="I45" s="1"/>
      <c r="J45" s="19"/>
      <c r="K45" s="28"/>
      <c r="L45" t="str">
        <f ca="1">IFERROR(IF(rTbl[[#This Row],[LT]]="H",MID(rTbl[[#This Row],[Hierarchy]],rTbl[[#This Row],[Pipe1]]+1,rTbl[[#This Row],[Pipe2]]-rTbl[[#This Row],[Pipe1]]-1),LEFT(rTbl[[#This Row],[Hierarchy]],FIND("|",rTbl[[#This Row],[Hierarchy]])-1)),"")</f>
        <v/>
      </c>
      <c r="M45">
        <f ca="1">IF(ROW()=3,0,OFFSET(rTbl[[#This Row],[Lev]],-1,0)+IF(OFFSET(rTbl[[#This Row],[LT]],-1,0)="H",1,IF(rTbl[[#This Row],[LT]]="!H",-1,0)))</f>
        <v>0</v>
      </c>
      <c r="N45">
        <f>IF(RIGHT(rTbl[[#This Row],[valid]],4)&lt;&gt;"list",0,IFERROR(MATCH(rTbl[[#This Row],[Context]]&amp;"|"&amp;rTbl[[#This Row],[Field]],Ltbl[ind],0),IFERROR(MATCH("ALL|"&amp;rTbl[[#This Row],[Field]],Ltbl[ind],0),-1)))</f>
        <v>0</v>
      </c>
      <c r="O45" t="str" cm="1">
        <f t="array" ref="O45">IF(rTbl[[#This Row],[listlu]]&lt;1,"",IF(INDEX(Ltbl[Generic],rTbl[[#This Row],[listlu]])="","",INDEX(Ltbl[Generic],rTbl[[#This Row],[listlu]])))</f>
        <v/>
      </c>
      <c r="P45" cm="1">
        <f t="array" ref="P45">IF(rTbl[[#This Row],[listlu]]=0,0,IF(INDEX(Ltbl[Context],rTbl[[#This Row],[listlu]],1)="ALL",1,2))</f>
        <v>0</v>
      </c>
      <c r="Q45" t="str">
        <f ca="1">IF(ROW()=3,IF(rTbl[[#This Row],[LT]]="H",rTbl[[#This Row],[Field]]&amp;"|","|"),IF(rTbl[[#This Row],[LT]]="H",rTbl[[#This Row],[Field]]&amp;"|"&amp;OFFSET(rTbl[[#This Row],[Hierarchy]],-1,0),IF(rTbl[[#This Row],[LT]]&lt;&gt;"!H",OFFSET(rTbl[[#This Row],[Hierarchy]],-1,0),RIGHT(OFFSET(rTbl[[#This Row],[Hierarchy]],-1,0),LEN(OFFSET(rTbl[[#This Row],[Hierarchy]],-1,0))-LEN(rTbl[[#This Row],[Field]])-1))))</f>
        <v/>
      </c>
      <c r="R45" t="e">
        <f ca="1">FIND("~",SUBSTITUTE(rTbl[[#This Row],[Hierarchy]],"|","~",1))</f>
        <v>#VALUE!</v>
      </c>
      <c r="S45" t="e">
        <f ca="1">FIND("~",SUBSTITUTE(rTbl[[#This Row],[Hierarchy]],"|","~",2))</f>
        <v>#VALUE!</v>
      </c>
    </row>
    <row r="46" spans="1:19">
      <c r="A46" t="s">
        <v>511</v>
      </c>
      <c r="B46" s="15" t="s">
        <v>21</v>
      </c>
      <c r="C46" t="s">
        <v>512</v>
      </c>
      <c r="E46" s="1"/>
      <c r="F46" s="1">
        <v>0</v>
      </c>
      <c r="G46" s="1" t="s">
        <v>23</v>
      </c>
      <c r="H46" s="1"/>
      <c r="I46" s="1"/>
      <c r="J46" s="19" t="s">
        <v>513</v>
      </c>
      <c r="K46" s="28"/>
      <c r="L46" t="str">
        <f ca="1">IFERROR(IF(rTbl[[#This Row],[LT]]="H",MID(rTbl[[#This Row],[Hierarchy]],rTbl[[#This Row],[Pipe1]]+1,rTbl[[#This Row],[Pipe2]]-rTbl[[#This Row],[Pipe1]]-1),LEFT(rTbl[[#This Row],[Hierarchy]],FIND("|",rTbl[[#This Row],[Hierarchy]])-1)),"")</f>
        <v/>
      </c>
      <c r="M46">
        <f ca="1">IF(ROW()=3,0,OFFSET(rTbl[[#This Row],[Lev]],-1,0)+IF(OFFSET(rTbl[[#This Row],[LT]],-1,0)="H",1,IF(rTbl[[#This Row],[LT]]="!H",-1,0)))</f>
        <v>0</v>
      </c>
      <c r="N46">
        <f>IF(RIGHT(rTbl[[#This Row],[valid]],4)&lt;&gt;"list",0,IFERROR(MATCH(rTbl[[#This Row],[Context]]&amp;"|"&amp;rTbl[[#This Row],[Field]],Ltbl[ind],0),IFERROR(MATCH("ALL|"&amp;rTbl[[#This Row],[Field]],Ltbl[ind],0),-1)))</f>
        <v>0</v>
      </c>
      <c r="O46" t="str" cm="1">
        <f t="array" ref="O46">IF(rTbl[[#This Row],[listlu]]&lt;1,"",IF(INDEX(Ltbl[Generic],rTbl[[#This Row],[listlu]])="","",INDEX(Ltbl[Generic],rTbl[[#This Row],[listlu]])))</f>
        <v/>
      </c>
      <c r="P46" cm="1">
        <f t="array" ref="P46">IF(rTbl[[#This Row],[listlu]]=0,0,IF(INDEX(Ltbl[Context],rTbl[[#This Row],[listlu]],1)="ALL",1,2))</f>
        <v>0</v>
      </c>
      <c r="Q46" t="str">
        <f ca="1">IF(ROW()=3,IF(rTbl[[#This Row],[LT]]="H",rTbl[[#This Row],[Field]]&amp;"|","|"),IF(rTbl[[#This Row],[LT]]="H",rTbl[[#This Row],[Field]]&amp;"|"&amp;OFFSET(rTbl[[#This Row],[Hierarchy]],-1,0),IF(rTbl[[#This Row],[LT]]&lt;&gt;"!H",OFFSET(rTbl[[#This Row],[Hierarchy]],-1,0),RIGHT(OFFSET(rTbl[[#This Row],[Hierarchy]],-1,0),LEN(OFFSET(rTbl[[#This Row],[Hierarchy]],-1,0))-LEN(rTbl[[#This Row],[Field]])-1))))</f>
        <v>KitPrds|</v>
      </c>
      <c r="R46">
        <f ca="1">FIND("~",SUBSTITUTE(rTbl[[#This Row],[Hierarchy]],"|","~",1))</f>
        <v>8</v>
      </c>
      <c r="S46" t="e">
        <f ca="1">FIND("~",SUBSTITUTE(rTbl[[#This Row],[Hierarchy]],"|","~",2))</f>
        <v>#VALUE!</v>
      </c>
    </row>
    <row r="47" spans="1:19">
      <c r="A47" t="s">
        <v>511</v>
      </c>
      <c r="B47" s="15" t="s">
        <v>28</v>
      </c>
      <c r="C47" t="s">
        <v>152</v>
      </c>
      <c r="D47" t="s">
        <v>30</v>
      </c>
      <c r="E47" s="1">
        <v>30</v>
      </c>
      <c r="F47" s="1">
        <v>1</v>
      </c>
      <c r="G47" s="1">
        <v>1</v>
      </c>
      <c r="H47" s="1"/>
      <c r="I47" s="1"/>
      <c r="J47" s="19" t="s">
        <v>514</v>
      </c>
      <c r="K47" s="28" t="s">
        <v>225</v>
      </c>
      <c r="L47" t="str">
        <f ca="1">IFERROR(IF(rTbl[[#This Row],[LT]]="H",MID(rTbl[[#This Row],[Hierarchy]],rTbl[[#This Row],[Pipe1]]+1,rTbl[[#This Row],[Pipe2]]-rTbl[[#This Row],[Pipe1]]-1),LEFT(rTbl[[#This Row],[Hierarchy]],FIND("|",rTbl[[#This Row],[Hierarchy]])-1)),"")</f>
        <v>KitPrds</v>
      </c>
      <c r="M47">
        <f ca="1">IF(ROW()=3,0,OFFSET(rTbl[[#This Row],[Lev]],-1,0)+IF(OFFSET(rTbl[[#This Row],[LT]],-1,0)="H",1,IF(rTbl[[#This Row],[LT]]="!H",-1,0)))</f>
        <v>1</v>
      </c>
      <c r="N47">
        <f>IF(RIGHT(rTbl[[#This Row],[valid]],4)&lt;&gt;"list",0,IFERROR(MATCH(rTbl[[#This Row],[Context]]&amp;"|"&amp;rTbl[[#This Row],[Field]],Ltbl[ind],0),IFERROR(MATCH("ALL|"&amp;rTbl[[#This Row],[Field]],Ltbl[ind],0),-1)))</f>
        <v>0</v>
      </c>
      <c r="O47" t="str" cm="1">
        <f t="array" ref="O47">IF(rTbl[[#This Row],[listlu]]&lt;1,"",IF(INDEX(Ltbl[Generic],rTbl[[#This Row],[listlu]])="","",INDEX(Ltbl[Generic],rTbl[[#This Row],[listlu]])))</f>
        <v/>
      </c>
      <c r="P47" cm="1">
        <f t="array" ref="P47">IF(rTbl[[#This Row],[listlu]]=0,0,IF(INDEX(Ltbl[Context],rTbl[[#This Row],[listlu]],1)="ALL",1,2))</f>
        <v>0</v>
      </c>
      <c r="Q47" t="str">
        <f ca="1">IF(ROW()=3,IF(rTbl[[#This Row],[LT]]="H",rTbl[[#This Row],[Field]]&amp;"|","|"),IF(rTbl[[#This Row],[LT]]="H",rTbl[[#This Row],[Field]]&amp;"|"&amp;OFFSET(rTbl[[#This Row],[Hierarchy]],-1,0),IF(rTbl[[#This Row],[LT]]&lt;&gt;"!H",OFFSET(rTbl[[#This Row],[Hierarchy]],-1,0),RIGHT(OFFSET(rTbl[[#This Row],[Hierarchy]],-1,0),LEN(OFFSET(rTbl[[#This Row],[Hierarchy]],-1,0))-LEN(rTbl[[#This Row],[Field]])-1))))</f>
        <v>KitPrds|</v>
      </c>
      <c r="R47">
        <f ca="1">FIND("~",SUBSTITUTE(rTbl[[#This Row],[Hierarchy]],"|","~",1))</f>
        <v>8</v>
      </c>
      <c r="S47" t="e">
        <f ca="1">FIND("~",SUBSTITUTE(rTbl[[#This Row],[Hierarchy]],"|","~",2))</f>
        <v>#VALUE!</v>
      </c>
    </row>
    <row r="48" spans="1:19">
      <c r="A48" t="s">
        <v>511</v>
      </c>
      <c r="B48" s="15" t="s">
        <v>28</v>
      </c>
      <c r="C48" t="s">
        <v>163</v>
      </c>
      <c r="D48" t="s">
        <v>84</v>
      </c>
      <c r="E48" s="1"/>
      <c r="F48" s="1">
        <v>1</v>
      </c>
      <c r="G48" s="1">
        <v>1</v>
      </c>
      <c r="H48" s="1"/>
      <c r="I48" s="1"/>
      <c r="J48" s="19" t="s">
        <v>515</v>
      </c>
      <c r="K48" s="28" t="s">
        <v>359</v>
      </c>
      <c r="L48" t="str">
        <f ca="1">IFERROR(IF(rTbl[[#This Row],[LT]]="H",MID(rTbl[[#This Row],[Hierarchy]],rTbl[[#This Row],[Pipe1]]+1,rTbl[[#This Row],[Pipe2]]-rTbl[[#This Row],[Pipe1]]-1),LEFT(rTbl[[#This Row],[Hierarchy]],FIND("|",rTbl[[#This Row],[Hierarchy]])-1)),"")</f>
        <v>KitPrds</v>
      </c>
      <c r="M48">
        <f ca="1">IF(ROW()=3,0,OFFSET(rTbl[[#This Row],[Lev]],-1,0)+IF(OFFSET(rTbl[[#This Row],[LT]],-1,0)="H",1,IF(rTbl[[#This Row],[LT]]="!H",-1,0)))</f>
        <v>1</v>
      </c>
      <c r="N48">
        <f>IF(RIGHT(rTbl[[#This Row],[valid]],4)&lt;&gt;"list",0,IFERROR(MATCH(rTbl[[#This Row],[Context]]&amp;"|"&amp;rTbl[[#This Row],[Field]],Ltbl[ind],0),IFERROR(MATCH("ALL|"&amp;rTbl[[#This Row],[Field]],Ltbl[ind],0),-1)))</f>
        <v>0</v>
      </c>
      <c r="O48" t="str" cm="1">
        <f t="array" ref="O48">IF(rTbl[[#This Row],[listlu]]&lt;1,"",IF(INDEX(Ltbl[Generic],rTbl[[#This Row],[listlu]])="","",INDEX(Ltbl[Generic],rTbl[[#This Row],[listlu]])))</f>
        <v/>
      </c>
      <c r="P48" cm="1">
        <f t="array" ref="P48">IF(rTbl[[#This Row],[listlu]]=0,0,IF(INDEX(Ltbl[Context],rTbl[[#This Row],[listlu]],1)="ALL",1,2))</f>
        <v>0</v>
      </c>
      <c r="Q48" t="str">
        <f ca="1">IF(ROW()=3,IF(rTbl[[#This Row],[LT]]="H",rTbl[[#This Row],[Field]]&amp;"|","|"),IF(rTbl[[#This Row],[LT]]="H",rTbl[[#This Row],[Field]]&amp;"|"&amp;OFFSET(rTbl[[#This Row],[Hierarchy]],-1,0),IF(rTbl[[#This Row],[LT]]&lt;&gt;"!H",OFFSET(rTbl[[#This Row],[Hierarchy]],-1,0),RIGHT(OFFSET(rTbl[[#This Row],[Hierarchy]],-1,0),LEN(OFFSET(rTbl[[#This Row],[Hierarchy]],-1,0))-LEN(rTbl[[#This Row],[Field]])-1))))</f>
        <v>KitPrds|</v>
      </c>
      <c r="R48">
        <f ca="1">FIND("~",SUBSTITUTE(rTbl[[#This Row],[Hierarchy]],"|","~",1))</f>
        <v>8</v>
      </c>
      <c r="S48" t="e">
        <f ca="1">FIND("~",SUBSTITUTE(rTbl[[#This Row],[Hierarchy]],"|","~",2))</f>
        <v>#VALUE!</v>
      </c>
    </row>
    <row r="49" spans="1:19">
      <c r="A49" t="s">
        <v>511</v>
      </c>
      <c r="B49" s="15" t="s">
        <v>177</v>
      </c>
      <c r="C49" t="s">
        <v>512</v>
      </c>
      <c r="E49" s="1"/>
      <c r="F49" s="1"/>
      <c r="G49" s="1"/>
      <c r="H49" s="1"/>
      <c r="I49" s="1"/>
      <c r="J49" s="19"/>
      <c r="K49" s="28"/>
      <c r="L49" t="str">
        <f ca="1">IFERROR(IF(rTbl[[#This Row],[LT]]="H",MID(rTbl[[#This Row],[Hierarchy]],rTbl[[#This Row],[Pipe1]]+1,rTbl[[#This Row],[Pipe2]]-rTbl[[#This Row],[Pipe1]]-1),LEFT(rTbl[[#This Row],[Hierarchy]],FIND("|",rTbl[[#This Row],[Hierarchy]])-1)),"")</f>
        <v/>
      </c>
      <c r="M49">
        <f ca="1">IF(ROW()=3,0,OFFSET(rTbl[[#This Row],[Lev]],-1,0)+IF(OFFSET(rTbl[[#This Row],[LT]],-1,0)="H",1,IF(rTbl[[#This Row],[LT]]="!H",-1,0)))</f>
        <v>0</v>
      </c>
      <c r="N49">
        <f>IF(RIGHT(rTbl[[#This Row],[valid]],4)&lt;&gt;"list",0,IFERROR(MATCH(rTbl[[#This Row],[Context]]&amp;"|"&amp;rTbl[[#This Row],[Field]],Ltbl[ind],0),IFERROR(MATCH("ALL|"&amp;rTbl[[#This Row],[Field]],Ltbl[ind],0),-1)))</f>
        <v>0</v>
      </c>
      <c r="O49" t="str" cm="1">
        <f t="array" ref="O49">IF(rTbl[[#This Row],[listlu]]&lt;1,"",IF(INDEX(Ltbl[Generic],rTbl[[#This Row],[listlu]])="","",INDEX(Ltbl[Generic],rTbl[[#This Row],[listlu]])))</f>
        <v/>
      </c>
      <c r="P49" cm="1">
        <f t="array" ref="P49">IF(rTbl[[#This Row],[listlu]]=0,0,IF(INDEX(Ltbl[Context],rTbl[[#This Row],[listlu]],1)="ALL",1,2))</f>
        <v>0</v>
      </c>
      <c r="Q49" t="str">
        <f ca="1">IF(ROW()=3,IF(rTbl[[#This Row],[LT]]="H",rTbl[[#This Row],[Field]]&amp;"|","|"),IF(rTbl[[#This Row],[LT]]="H",rTbl[[#This Row],[Field]]&amp;"|"&amp;OFFSET(rTbl[[#This Row],[Hierarchy]],-1,0),IF(rTbl[[#This Row],[LT]]&lt;&gt;"!H",OFFSET(rTbl[[#This Row],[Hierarchy]],-1,0),RIGHT(OFFSET(rTbl[[#This Row],[Hierarchy]],-1,0),LEN(OFFSET(rTbl[[#This Row],[Hierarchy]],-1,0))-LEN(rTbl[[#This Row],[Field]])-1))))</f>
        <v/>
      </c>
      <c r="R49" t="e">
        <f ca="1">FIND("~",SUBSTITUTE(rTbl[[#This Row],[Hierarchy]],"|","~",1))</f>
        <v>#VALUE!</v>
      </c>
      <c r="S49" t="e">
        <f ca="1">FIND("~",SUBSTITUTE(rTbl[[#This Row],[Hierarchy]],"|","~",2))</f>
        <v>#VALUE!</v>
      </c>
    </row>
  </sheetData>
  <conditionalFormatting sqref="L3:L49">
    <cfRule type="expression" dxfId="154" priority="19">
      <formula>($B3="C")</formula>
    </cfRule>
    <cfRule type="expression" dxfId="153" priority="22">
      <formula>($B3="")</formula>
    </cfRule>
  </conditionalFormatting>
  <conditionalFormatting sqref="B12:I25 K12:M25 B3:M11 B26:M49">
    <cfRule type="expression" dxfId="152" priority="25">
      <formula>($B3="!H")</formula>
    </cfRule>
    <cfRule type="expression" dxfId="151" priority="26">
      <formula>($B3="REF")</formula>
    </cfRule>
    <cfRule type="expression" dxfId="150" priority="27">
      <formula>($B3="C")</formula>
    </cfRule>
    <cfRule type="expression" dxfId="149" priority="57">
      <formula>($B3="H")</formula>
    </cfRule>
  </conditionalFormatting>
  <conditionalFormatting sqref="A3:A49">
    <cfRule type="cellIs" dxfId="148" priority="18" operator="greaterThan">
      <formula>"@"</formula>
    </cfRule>
  </conditionalFormatting>
  <conditionalFormatting sqref="H3:H49">
    <cfRule type="expression" dxfId="147" priority="10">
      <formula>($P3=2)</formula>
    </cfRule>
    <cfRule type="expression" dxfId="146" priority="12">
      <formula>($P3=1)</formula>
    </cfRule>
  </conditionalFormatting>
  <conditionalFormatting sqref="A48">
    <cfRule type="cellIs" dxfId="145" priority="7" operator="greaterThan">
      <formula>"@"</formula>
    </cfRule>
  </conditionalFormatting>
  <conditionalFormatting sqref="A49">
    <cfRule type="cellIs" dxfId="144" priority="5" operator="greaterThan">
      <formula>"@"</formula>
    </cfRule>
  </conditionalFormatting>
  <conditionalFormatting sqref="J12:J13 J16:J25">
    <cfRule type="expression" dxfId="143" priority="1">
      <formula>($A12="!H")</formula>
    </cfRule>
    <cfRule type="expression" dxfId="142" priority="2">
      <formula>($A12="REF")</formula>
    </cfRule>
    <cfRule type="expression" dxfId="141" priority="3">
      <formula>($A12="C")</formula>
    </cfRule>
    <cfRule type="expression" dxfId="140" priority="4">
      <formula>($A12="H")</formula>
    </cfRule>
  </conditionalFormatting>
  <conditionalFormatting sqref="C3:C49">
    <cfRule type="expression" dxfId="139" priority="72">
      <formula>AND($B3="!H",$C3&lt;&gt;OFFSET($L3,-1,0))</formula>
    </cfRule>
    <cfRule type="expression" dxfId="138" priority="73">
      <formula>AND($B3="E",$F3=1)</formula>
    </cfRule>
  </conditionalFormatting>
  <conditionalFormatting sqref="I3:I49">
    <cfRule type="expression" dxfId="137" priority="98">
      <formula>AND($N3&gt;0,$O3&lt;&gt;$K3)</formula>
    </cfRule>
    <cfRule type="expression" dxfId="136" priority="99">
      <formula>AND($N3&gt;0,$O3=$K3)</formula>
    </cfRule>
    <cfRule type="expression" dxfId="135" priority="100">
      <formula>($N3=-1)</formula>
    </cfRule>
  </conditionalFormatting>
  <conditionalFormatting sqref="K3:K49">
    <cfRule type="expression" dxfId="134" priority="101">
      <formula>AND(N3&gt;0,O3&lt;&gt;K3)</formula>
    </cfRule>
    <cfRule type="expression" dxfId="133" priority="102">
      <formula>AND($B3="E",$F3&lt;&gt;1)</formula>
    </cfRule>
  </conditionalFormatting>
  <conditionalFormatting sqref="J15">
    <cfRule type="expression" dxfId="132" priority="107">
      <formula>($A14="!H")</formula>
    </cfRule>
    <cfRule type="expression" dxfId="131" priority="108">
      <formula>($A14="REF")</formula>
    </cfRule>
    <cfRule type="expression" dxfId="130" priority="109">
      <formula>($A14="C")</formula>
    </cfRule>
    <cfRule type="expression" dxfId="129" priority="110">
      <formula>($A14="H")</formula>
    </cfRule>
  </conditionalFormatting>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0C641-91CF-46E8-A0B0-E5AD746EED64}">
  <sheetPr codeName="Sheet5">
    <tabColor rgb="FF00B0F0"/>
  </sheetPr>
  <dimension ref="B2:J38"/>
  <sheetViews>
    <sheetView topLeftCell="B1" zoomScale="130" zoomScaleNormal="130" workbookViewId="0">
      <selection activeCell="D15" sqref="D15"/>
    </sheetView>
  </sheetViews>
  <sheetFormatPr defaultRowHeight="15"/>
  <cols>
    <col min="2" max="2" width="19.140625" customWidth="1"/>
    <col min="3" max="3" width="13.7109375" customWidth="1"/>
    <col min="4" max="4" width="40" customWidth="1"/>
    <col min="5" max="5" width="46.42578125" customWidth="1"/>
    <col min="6" max="6" width="8.85546875" customWidth="1"/>
    <col min="7" max="7" width="62.42578125" customWidth="1"/>
    <col min="8" max="8" width="4.85546875" hidden="1" customWidth="1"/>
    <col min="9" max="9" width="9.140625" hidden="1" customWidth="1"/>
    <col min="10" max="10" width="0" hidden="1" customWidth="1"/>
  </cols>
  <sheetData>
    <row r="2" spans="2:10">
      <c r="B2" t="s">
        <v>516</v>
      </c>
    </row>
    <row r="3" spans="2:10">
      <c r="B3" t="s">
        <v>10</v>
      </c>
      <c r="C3" t="s">
        <v>1</v>
      </c>
      <c r="D3" t="s">
        <v>517</v>
      </c>
      <c r="E3" s="44" t="s">
        <v>518</v>
      </c>
      <c r="F3" s="1" t="s">
        <v>519</v>
      </c>
      <c r="G3" t="s">
        <v>8</v>
      </c>
      <c r="H3" s="1" t="s">
        <v>520</v>
      </c>
      <c r="I3" t="s">
        <v>521</v>
      </c>
      <c r="J3" t="s">
        <v>522</v>
      </c>
    </row>
    <row r="4" spans="2:10">
      <c r="B4" t="s">
        <v>523</v>
      </c>
      <c r="C4" t="s">
        <v>29</v>
      </c>
      <c r="D4" t="s">
        <v>33</v>
      </c>
      <c r="E4" t="s">
        <v>286</v>
      </c>
      <c r="F4" s="1" t="s">
        <v>524</v>
      </c>
      <c r="H4" s="1">
        <f>IF(Ltbl[[#This Row],[Generic]]="",0,LEN(Ltbl[[#This Row],[Generic]])-LEN(SUBSTITUTE(Ltbl[[#This Row],[Generic]],",",""))+1)</f>
        <v>1</v>
      </c>
      <c r="I4" t="str">
        <f>Ltbl[[#This Row],[Context]]&amp;"|"&amp;Ltbl[[#This Row],[Field]]</f>
        <v>All|AccountID</v>
      </c>
      <c r="J4" t="str">
        <f>IF(ListData="Generic",Ltbl[[#This Row],[Generic]],IF(LEN(Ltbl[[#This Row],[CustomerSpecific]])&gt;1,Ltbl[[#This Row],[CustomerSpecific]],Ltbl[[#This Row],[Generic]]))</f>
        <v>CUST</v>
      </c>
    </row>
    <row r="5" spans="2:10">
      <c r="B5" t="s">
        <v>523</v>
      </c>
      <c r="C5" t="s">
        <v>525</v>
      </c>
      <c r="D5" t="s">
        <v>438</v>
      </c>
      <c r="F5" s="1" t="s">
        <v>524</v>
      </c>
      <c r="G5" t="s">
        <v>526</v>
      </c>
      <c r="H5" s="1">
        <f>IF(Ltbl[[#This Row],[Generic]]="",0,LEN(Ltbl[[#This Row],[Generic]])-LEN(SUBSTITUTE(Ltbl[[#This Row],[Generic]],",",""))+1)</f>
        <v>3</v>
      </c>
      <c r="I5" t="str">
        <f>Ltbl[[#This Row],[Context]]&amp;"|"&amp;Ltbl[[#This Row],[Field]]</f>
        <v>All|AddTYpe</v>
      </c>
      <c r="J5" t="str">
        <f>IF(ListData="Generic",Ltbl[[#This Row],[Generic]],IF(LEN(Ltbl[[#This Row],[CustomerSpecific]])&gt;1,Ltbl[[#This Row],[CustomerSpecific]],Ltbl[[#This Row],[Generic]]))</f>
        <v>SHIP,SUPP,BILL</v>
      </c>
    </row>
    <row r="6" spans="2:10">
      <c r="B6" t="s">
        <v>523</v>
      </c>
      <c r="C6" t="s">
        <v>50</v>
      </c>
      <c r="D6" t="s">
        <v>52</v>
      </c>
      <c r="F6" s="1" t="s">
        <v>527</v>
      </c>
      <c r="H6" s="1">
        <f>IF(Ltbl[[#This Row],[Generic]]="",0,LEN(Ltbl[[#This Row],[Generic]])-LEN(SUBSTITUTE(Ltbl[[#This Row],[Generic]],",",""))+1)</f>
        <v>2</v>
      </c>
      <c r="I6" t="str">
        <f>Ltbl[[#This Row],[Context]]&amp;"|"&amp;Ltbl[[#This Row],[Field]]</f>
        <v>All|Brand</v>
      </c>
      <c r="J6" t="str">
        <f>IF(ListData="Generic",Ltbl[[#This Row],[Generic]],IF(LEN(Ltbl[[#This Row],[CustomerSpecific]])&gt;1,Ltbl[[#This Row],[CustomerSpecific]],Ltbl[[#This Row],[Generic]]))</f>
        <v>MyFirstBrand,OtherBrand</v>
      </c>
    </row>
    <row r="7" spans="2:10">
      <c r="B7" t="s">
        <v>523</v>
      </c>
      <c r="C7" t="s">
        <v>46</v>
      </c>
      <c r="D7" t="s">
        <v>48</v>
      </c>
      <c r="E7" t="s">
        <v>528</v>
      </c>
      <c r="F7" s="1" t="s">
        <v>527</v>
      </c>
      <c r="H7" s="1">
        <f>IF(Ltbl[[#This Row],[Generic]]="",0,LEN(Ltbl[[#This Row],[Generic]])-LEN(SUBSTITUTE(Ltbl[[#This Row],[Generic]],",",""))+1)</f>
        <v>3</v>
      </c>
      <c r="I7" t="str">
        <f>Ltbl[[#This Row],[Context]]&amp;"|"&amp;Ltbl[[#This Row],[Field]]</f>
        <v>All|Channel</v>
      </c>
      <c r="J7" t="str">
        <f>IF(ListData="Generic",Ltbl[[#This Row],[Generic]],IF(LEN(Ltbl[[#This Row],[CustomerSpecific]])&gt;1,Ltbl[[#This Row],[CustomerSpecific]],Ltbl[[#This Row],[Generic]]))</f>
        <v>ShopEU,ShopUK,NetSuite</v>
      </c>
    </row>
    <row r="8" spans="2:10">
      <c r="B8" t="s">
        <v>523</v>
      </c>
      <c r="C8" t="s">
        <v>193</v>
      </c>
      <c r="D8" t="s">
        <v>194</v>
      </c>
      <c r="F8" s="1" t="s">
        <v>527</v>
      </c>
      <c r="G8" t="s">
        <v>529</v>
      </c>
      <c r="H8" s="1">
        <f>IF(Ltbl[[#This Row],[Generic]]="",0,LEN(Ltbl[[#This Row],[Generic]])-LEN(SUBSTITUTE(Ltbl[[#This Row],[Generic]],",",""))+1)</f>
        <v>5</v>
      </c>
      <c r="I8" t="str">
        <f>Ltbl[[#This Row],[Context]]&amp;"|"&amp;Ltbl[[#This Row],[Field]]</f>
        <v>All|ErrType</v>
      </c>
      <c r="J8" t="str">
        <f>IF(ListData="Generic",Ltbl[[#This Row],[Generic]],IF(LEN(Ltbl[[#This Row],[CustomerSpecific]])&gt;1,Ltbl[[#This Row],[CustomerSpecific]],Ltbl[[#This Row],[Generic]]))</f>
        <v>LEN,MAND,FTYPE,ENUM,STOCK</v>
      </c>
    </row>
    <row r="9" spans="2:10">
      <c r="B9" t="s">
        <v>523</v>
      </c>
      <c r="C9" t="s">
        <v>34</v>
      </c>
      <c r="D9" s="2" t="s">
        <v>36</v>
      </c>
      <c r="E9" s="2"/>
      <c r="F9" s="43" t="s">
        <v>524</v>
      </c>
      <c r="G9" s="2"/>
      <c r="H9" s="1">
        <f>IF(Ltbl[[#This Row],[Generic]]="",0,LEN(Ltbl[[#This Row],[Generic]])-LEN(SUBSTITUTE(Ltbl[[#This Row],[Generic]],",",""))+1)</f>
        <v>1</v>
      </c>
      <c r="I9" t="str">
        <f>Ltbl[[#This Row],[Context]]&amp;"|"&amp;Ltbl[[#This Row],[Field]]</f>
        <v>All|LocationID</v>
      </c>
      <c r="J9" t="str">
        <f>IF(ListData="Generic",Ltbl[[#This Row],[Generic]],IF(LEN(Ltbl[[#This Row],[CustomerSpecific]])&gt;1,Ltbl[[#This Row],[CustomerSpecific]],Ltbl[[#This Row],[Generic]]))</f>
        <v>NORTHAMPTON</v>
      </c>
    </row>
    <row r="10" spans="2:10">
      <c r="B10" t="s">
        <v>523</v>
      </c>
      <c r="C10" t="s">
        <v>77</v>
      </c>
      <c r="D10" t="s">
        <v>79</v>
      </c>
      <c r="F10" s="1" t="s">
        <v>524</v>
      </c>
      <c r="H10" s="1">
        <f>IF(Ltbl[[#This Row],[Generic]]="",0,LEN(Ltbl[[#This Row],[Generic]])-LEN(SUBSTITUTE(Ltbl[[#This Row],[Generic]],",",""))+1)</f>
        <v>3</v>
      </c>
      <c r="I10" t="str">
        <f>Ltbl[[#This Row],[Context]]&amp;"|"&amp;Ltbl[[#This Row],[Field]]</f>
        <v>All|Priority</v>
      </c>
      <c r="J10" t="str">
        <f>IF(ListData="Generic",Ltbl[[#This Row],[Generic]],IF(LEN(Ltbl[[#This Row],[CustomerSpecific]])&gt;1,Ltbl[[#This Row],[CustomerSpecific]],Ltbl[[#This Row],[Generic]]))</f>
        <v>NORM,URGNT,HIGH</v>
      </c>
    </row>
    <row r="11" spans="2:10">
      <c r="B11" t="s">
        <v>523</v>
      </c>
      <c r="C11" t="s">
        <v>60</v>
      </c>
      <c r="D11" t="s">
        <v>62</v>
      </c>
      <c r="F11" s="1" t="s">
        <v>524</v>
      </c>
      <c r="G11" t="s">
        <v>530</v>
      </c>
      <c r="H11" s="1">
        <f>IF(Ltbl[[#This Row],[Generic]]="",0,LEN(Ltbl[[#This Row],[Generic]])-LEN(SUBSTITUTE(Ltbl[[#This Row],[Generic]],",",""))+1)</f>
        <v>2</v>
      </c>
      <c r="I11" t="str">
        <f>Ltbl[[#This Row],[Context]]&amp;"|"&amp;Ltbl[[#This Row],[Field]]</f>
        <v>All|ReqType</v>
      </c>
      <c r="J11" t="str">
        <f>IF(ListData="Generic",Ltbl[[#This Row],[Generic]],IF(LEN(Ltbl[[#This Row],[CustomerSpecific]])&gt;1,Ltbl[[#This Row],[CustomerSpecific]],Ltbl[[#This Row],[Generic]]))</f>
        <v>NEW,UPD</v>
      </c>
    </row>
    <row r="12" spans="2:10">
      <c r="B12" t="s">
        <v>523</v>
      </c>
      <c r="C12" t="s">
        <v>37</v>
      </c>
      <c r="D12" t="s">
        <v>39</v>
      </c>
      <c r="E12" t="s">
        <v>286</v>
      </c>
      <c r="F12" s="1" t="s">
        <v>524</v>
      </c>
      <c r="H12" s="1">
        <f>IF(Ltbl[[#This Row],[Generic]]="",0,LEN(Ltbl[[#This Row],[Generic]])-LEN(SUBSTITUTE(Ltbl[[#This Row],[Generic]],",",""))+1)</f>
        <v>3</v>
      </c>
      <c r="I12" t="str">
        <f>Ltbl[[#This Row],[Context]]&amp;"|"&amp;Ltbl[[#This Row],[Field]]</f>
        <v>All|StockPool</v>
      </c>
      <c r="J12" t="str">
        <f>IF(ListData="Generic",Ltbl[[#This Row],[Generic]],IF(LEN(Ltbl[[#This Row],[CustomerSpecific]])&gt;1,Ltbl[[#This Row],[CustomerSpecific]],Ltbl[[#This Row],[Generic]]))</f>
        <v>ECOM,WS,BULK</v>
      </c>
    </row>
    <row r="13" spans="2:10">
      <c r="B13" t="s">
        <v>523</v>
      </c>
      <c r="C13" t="s">
        <v>490</v>
      </c>
      <c r="D13" t="s">
        <v>161</v>
      </c>
      <c r="F13" s="1" t="s">
        <v>524</v>
      </c>
      <c r="G13" t="s">
        <v>531</v>
      </c>
      <c r="H13" s="1">
        <f>IF(Ltbl[[#This Row],[Generic]]="",0,LEN(Ltbl[[#This Row],[Generic]])-LEN(SUBSTITUTE(Ltbl[[#This Row],[Generic]],",",""))+1)</f>
        <v>3</v>
      </c>
      <c r="I13" t="str">
        <f>Ltbl[[#This Row],[Context]]&amp;"|"&amp;Ltbl[[#This Row],[Field]]</f>
        <v>All|SubUoM</v>
      </c>
      <c r="J13" t="str">
        <f>IF(ListData="Generic",Ltbl[[#This Row],[Generic]],IF(LEN(Ltbl[[#This Row],[CustomerSpecific]])&gt;1,Ltbl[[#This Row],[CustomerSpecific]],Ltbl[[#This Row],[Generic]]))</f>
        <v>EACH,INNER,OUTER</v>
      </c>
    </row>
    <row r="14" spans="2:10">
      <c r="B14" t="s">
        <v>523</v>
      </c>
      <c r="C14" t="s">
        <v>159</v>
      </c>
      <c r="D14" t="s">
        <v>161</v>
      </c>
      <c r="F14" s="1" t="s">
        <v>524</v>
      </c>
      <c r="G14" t="s">
        <v>532</v>
      </c>
      <c r="H14" s="1">
        <f>IF(Ltbl[[#This Row],[Generic]]="",0,LEN(Ltbl[[#This Row],[Generic]])-LEN(SUBSTITUTE(Ltbl[[#This Row],[Generic]],",",""))+1)</f>
        <v>3</v>
      </c>
      <c r="I14" t="str">
        <f>Ltbl[[#This Row],[Context]]&amp;"|"&amp;Ltbl[[#This Row],[Field]]</f>
        <v>All|UoM</v>
      </c>
      <c r="J14" t="str">
        <f>IF(ListData="Generic",Ltbl[[#This Row],[Generic]],IF(LEN(Ltbl[[#This Row],[CustomerSpecific]])&gt;1,Ltbl[[#This Row],[CustomerSpecific]],Ltbl[[#This Row],[Generic]]))</f>
        <v>EACH,INNER,OUTER</v>
      </c>
    </row>
    <row r="15" spans="2:10">
      <c r="B15" t="s">
        <v>178</v>
      </c>
      <c r="C15" t="s">
        <v>55</v>
      </c>
      <c r="D15" t="s">
        <v>186</v>
      </c>
      <c r="F15" s="1" t="s">
        <v>527</v>
      </c>
      <c r="G15" t="s">
        <v>533</v>
      </c>
      <c r="H15" s="1">
        <f>IF(Ltbl[[#This Row],[Generic]]="",0,LEN(Ltbl[[#This Row],[Generic]])-LEN(SUBSTITUTE(Ltbl[[#This Row],[Generic]],",",""))+1)</f>
        <v>9</v>
      </c>
      <c r="I15" t="str">
        <f>Ltbl[[#This Row],[Context]]&amp;"|"&amp;Ltbl[[#This Row],[Field]]</f>
        <v>Errors|OrdType</v>
      </c>
      <c r="J15" t="str">
        <f>IF(ListData="Generic",Ltbl[[#This Row],[Generic]],IF(LEN(Ltbl[[#This Row],[CustomerSpecific]])&gt;1,Ltbl[[#This Row],[CustomerSpecific]],Ltbl[[#This Row],[Generic]]))</f>
        <v>WO,SO,TOO,PO,TOI,ASN,RETK,RETU,MD</v>
      </c>
    </row>
    <row r="16" spans="2:10">
      <c r="B16" t="s">
        <v>534</v>
      </c>
      <c r="C16" t="s">
        <v>64</v>
      </c>
      <c r="D16" t="s">
        <v>66</v>
      </c>
      <c r="F16" s="1" t="s">
        <v>524</v>
      </c>
      <c r="H16" s="1">
        <f>IF(Ltbl[[#This Row],[Generic]]="",0,LEN(Ltbl[[#This Row],[Generic]])-LEN(SUBSTITUTE(Ltbl[[#This Row],[Generic]],",",""))+1)</f>
        <v>6</v>
      </c>
      <c r="I16" t="str">
        <f>Ltbl[[#This Row],[Context]]&amp;"|"&amp;Ltbl[[#This Row],[Field]]</f>
        <v>GoResp|Class</v>
      </c>
      <c r="J16" t="str">
        <f>IF(ListData="Generic",Ltbl[[#This Row],[Generic]],IF(LEN(Ltbl[[#This Row],[CustomerSpecific]])&gt;1,Ltbl[[#This Row],[CustomerSpecific]],Ltbl[[#This Row],[Generic]]))</f>
        <v>ECOM,WS,EVAS,WSVAS,PR,OTHER</v>
      </c>
    </row>
    <row r="17" spans="2:10">
      <c r="B17" t="s">
        <v>534</v>
      </c>
      <c r="C17" t="s">
        <v>55</v>
      </c>
      <c r="D17" t="s">
        <v>58</v>
      </c>
      <c r="F17" s="1" t="s">
        <v>524</v>
      </c>
      <c r="H17" s="1">
        <f>IF(Ltbl[[#This Row],[Generic]]="",0,LEN(Ltbl[[#This Row],[Generic]])-LEN(SUBSTITUTE(Ltbl[[#This Row],[Generic]],",",""))+1)</f>
        <v>2</v>
      </c>
      <c r="I17" t="str">
        <f>Ltbl[[#This Row],[Context]]&amp;"|"&amp;Ltbl[[#This Row],[Field]]</f>
        <v>GoResp|OrdType</v>
      </c>
      <c r="J17" t="str">
        <f>IF(ListData="Generic",Ltbl[[#This Row],[Generic]],IF(LEN(Ltbl[[#This Row],[CustomerSpecific]])&gt;1,Ltbl[[#This Row],[CustomerSpecific]],Ltbl[[#This Row],[Generic]]))</f>
        <v>SO,TOO</v>
      </c>
    </row>
    <row r="18" spans="2:10">
      <c r="B18" t="s">
        <v>534</v>
      </c>
      <c r="C18" t="s">
        <v>68</v>
      </c>
      <c r="D18" t="s">
        <v>70</v>
      </c>
      <c r="E18" t="s">
        <v>535</v>
      </c>
      <c r="F18" s="1" t="s">
        <v>527</v>
      </c>
      <c r="H18" s="1">
        <f>IF(Ltbl[[#This Row],[Generic]]="",0,LEN(Ltbl[[#This Row],[Generic]])-LEN(SUBSTITUTE(Ltbl[[#This Row],[Generic]],",",""))+1)</f>
        <v>5</v>
      </c>
      <c r="I18" t="str">
        <f>Ltbl[[#This Row],[Context]]&amp;"|"&amp;Ltbl[[#This Row],[Field]]</f>
        <v>GoResp|Service</v>
      </c>
      <c r="J18" t="str">
        <f>IF(ListData="Generic",Ltbl[[#This Row],[Generic]],IF(LEN(Ltbl[[#This Row],[CustomerSpecific]])&gt;1,Ltbl[[#This Row],[CustomerSpecific]],Ltbl[[#This Row],[Generic]]))</f>
        <v>NextDay,SameDay,UK48,IntExp,IntStd</v>
      </c>
    </row>
    <row r="19" spans="2:10">
      <c r="B19" t="s">
        <v>311</v>
      </c>
      <c r="C19" t="s">
        <v>331</v>
      </c>
      <c r="D19" t="s">
        <v>343</v>
      </c>
      <c r="F19" s="1" t="s">
        <v>527</v>
      </c>
      <c r="G19" t="s">
        <v>536</v>
      </c>
      <c r="H19" s="1">
        <f>IF(Ltbl[[#This Row],[Generic]]="",0,LEN(Ltbl[[#This Row],[Generic]])-LEN(SUBSTITUTE(Ltbl[[#This Row],[Generic]],",",""))+1)</f>
        <v>2</v>
      </c>
      <c r="I19" t="str">
        <f>Ltbl[[#This Row],[Context]]&amp;"|"&amp;Ltbl[[#This Row],[Field]]</f>
        <v>iOrderLines|PrdStatus</v>
      </c>
      <c r="J19" t="str">
        <f>IF(ListData="Generic",Ltbl[[#This Row],[Generic]],IF(LEN(Ltbl[[#This Row],[CustomerSpecific]])&gt;1,Ltbl[[#This Row],[CustomerSpecific]],Ltbl[[#This Row],[Generic]]))</f>
        <v>GOOD,QA</v>
      </c>
    </row>
    <row r="20" spans="2:10">
      <c r="B20" t="s">
        <v>537</v>
      </c>
      <c r="C20" t="s">
        <v>427</v>
      </c>
      <c r="F20" s="1" t="s">
        <v>527</v>
      </c>
      <c r="H20" s="1">
        <f>IF(Ltbl[[#This Row],[Generic]]="",0,LEN(Ltbl[[#This Row],[Generic]])-LEN(SUBSTITUTE(Ltbl[[#This Row],[Generic]],",",""))+1)</f>
        <v>0</v>
      </c>
      <c r="I20" t="str">
        <f>Ltbl[[#This Row],[Context]]&amp;"|"&amp;Ltbl[[#This Row],[Field]]</f>
        <v>iOrderLines|Cfields|FldType</v>
      </c>
      <c r="J20">
        <f>IF(ListData="Generic",Ltbl[[#This Row],[Generic]],IF(LEN(Ltbl[[#This Row],[CustomerSpecific]])&gt;1,Ltbl[[#This Row],[CustomerSpecific]],Ltbl[[#This Row],[Generic]]))</f>
        <v>0</v>
      </c>
    </row>
    <row r="21" spans="2:10">
      <c r="B21" t="s">
        <v>284</v>
      </c>
      <c r="C21" t="s">
        <v>64</v>
      </c>
      <c r="D21" t="s">
        <v>290</v>
      </c>
      <c r="F21" s="1" t="s">
        <v>527</v>
      </c>
      <c r="G21" t="s">
        <v>538</v>
      </c>
      <c r="H21" s="1">
        <f>IF(Ltbl[[#This Row],[Generic]]="",0,LEN(Ltbl[[#This Row],[Generic]])-LEN(SUBSTITUTE(Ltbl[[#This Row],[Generic]],",",""))+1)</f>
        <v>2</v>
      </c>
      <c r="I21" t="str">
        <f>Ltbl[[#This Row],[Context]]&amp;"|"&amp;Ltbl[[#This Row],[Field]]</f>
        <v>iOrders|Class</v>
      </c>
      <c r="J21" t="str">
        <f>IF(ListData="Generic",Ltbl[[#This Row],[Generic]],IF(LEN(Ltbl[[#This Row],[CustomerSpecific]])&gt;1,Ltbl[[#This Row],[CustomerSpecific]],Ltbl[[#This Row],[Generic]]))</f>
        <v>STD,EXP</v>
      </c>
    </row>
    <row r="22" spans="2:10">
      <c r="B22" t="s">
        <v>284</v>
      </c>
      <c r="C22" t="s">
        <v>55</v>
      </c>
      <c r="D22" t="s">
        <v>288</v>
      </c>
      <c r="F22" s="1" t="s">
        <v>524</v>
      </c>
      <c r="G22" t="s">
        <v>539</v>
      </c>
      <c r="H22" s="1">
        <f>IF(Ltbl[[#This Row],[Generic]]="",0,LEN(Ltbl[[#This Row],[Generic]])-LEN(SUBSTITUTE(Ltbl[[#This Row],[Generic]],",",""))+1)</f>
        <v>3</v>
      </c>
      <c r="I22" t="str">
        <f>Ltbl[[#This Row],[Context]]&amp;"|"&amp;Ltbl[[#This Row],[Field]]</f>
        <v>iOrders|OrdType</v>
      </c>
      <c r="J22" t="str">
        <f>IF(ListData="Generic",Ltbl[[#This Row],[Generic]],IF(LEN(Ltbl[[#This Row],[CustomerSpecific]])&gt;1,Ltbl[[#This Row],[CustomerSpecific]],Ltbl[[#This Row],[Generic]]))</f>
        <v>PO,TOI,ASN</v>
      </c>
    </row>
    <row r="23" spans="2:10">
      <c r="B23" t="s">
        <v>540</v>
      </c>
      <c r="C23" t="s">
        <v>427</v>
      </c>
      <c r="F23" s="1" t="s">
        <v>527</v>
      </c>
      <c r="H23" s="1">
        <f>IF(Ltbl[[#This Row],[Generic]]="",0,LEN(Ltbl[[#This Row],[Generic]])-LEN(SUBSTITUTE(Ltbl[[#This Row],[Generic]],",",""))+1)</f>
        <v>0</v>
      </c>
      <c r="I23" t="str">
        <f>Ltbl[[#This Row],[Context]]&amp;"|"&amp;Ltbl[[#This Row],[Field]]</f>
        <v>iOrders|Cfields|FldType</v>
      </c>
      <c r="J23">
        <f>IF(ListData="Generic",Ltbl[[#This Row],[Generic]],IF(LEN(Ltbl[[#This Row],[CustomerSpecific]])&gt;1,Ltbl[[#This Row],[CustomerSpecific]],Ltbl[[#This Row],[Generic]]))</f>
        <v>0</v>
      </c>
    </row>
    <row r="24" spans="2:10">
      <c r="B24" t="s">
        <v>541</v>
      </c>
      <c r="C24" t="s">
        <v>427</v>
      </c>
      <c r="D24" t="s">
        <v>542</v>
      </c>
      <c r="F24" s="1" t="s">
        <v>527</v>
      </c>
      <c r="G24" t="s">
        <v>543</v>
      </c>
      <c r="H24" s="1">
        <f>IF(Ltbl[[#This Row],[Generic]]="",0,LEN(Ltbl[[#This Row],[Generic]])-LEN(SUBSTITUTE(Ltbl[[#This Row],[Generic]],",",""))+1)</f>
        <v>2</v>
      </c>
      <c r="I24" t="str">
        <f>Ltbl[[#This Row],[Context]]&amp;"|"&amp;Ltbl[[#This Row],[Field]]</f>
        <v>oOrderLines|Cfields|FldType</v>
      </c>
      <c r="J24" t="str">
        <f>IF(ListData="Generic",Ltbl[[#This Row],[Generic]],IF(LEN(Ltbl[[#This Row],[CustomerSpecific]])&gt;1,Ltbl[[#This Row],[CustomerSpecific]],Ltbl[[#This Row],[Generic]]))</f>
        <v>ENGR,LGIFT</v>
      </c>
    </row>
    <row r="25" spans="2:10">
      <c r="B25" t="s">
        <v>22</v>
      </c>
      <c r="C25" t="s">
        <v>64</v>
      </c>
      <c r="D25" t="s">
        <v>66</v>
      </c>
      <c r="F25" s="1" t="s">
        <v>524</v>
      </c>
      <c r="H25" s="1">
        <f>IF(Ltbl[[#This Row],[Generic]]="",0,LEN(Ltbl[[#This Row],[Generic]])-LEN(SUBSTITUTE(Ltbl[[#This Row],[Generic]],",",""))+1)</f>
        <v>6</v>
      </c>
      <c r="I25" t="str">
        <f>Ltbl[[#This Row],[Context]]&amp;"|"&amp;Ltbl[[#This Row],[Field]]</f>
        <v>oOrders|Class</v>
      </c>
      <c r="J25" t="str">
        <f>IF(ListData="Generic",Ltbl[[#This Row],[Generic]],IF(LEN(Ltbl[[#This Row],[CustomerSpecific]])&gt;1,Ltbl[[#This Row],[CustomerSpecific]],Ltbl[[#This Row],[Generic]]))</f>
        <v>ECOM,WS,EVAS,WSVAS,PR,OTHER</v>
      </c>
    </row>
    <row r="26" spans="2:10">
      <c r="B26" t="s">
        <v>22</v>
      </c>
      <c r="C26" t="s">
        <v>55</v>
      </c>
      <c r="D26" t="s">
        <v>58</v>
      </c>
      <c r="F26" s="1" t="s">
        <v>524</v>
      </c>
      <c r="H26" s="1">
        <f>IF(Ltbl[[#This Row],[Generic]]="",0,LEN(Ltbl[[#This Row],[Generic]])-LEN(SUBSTITUTE(Ltbl[[#This Row],[Generic]],",",""))+1)</f>
        <v>2</v>
      </c>
      <c r="I26" t="str">
        <f>Ltbl[[#This Row],[Context]]&amp;"|"&amp;Ltbl[[#This Row],[Field]]</f>
        <v>oOrders|OrdType</v>
      </c>
      <c r="J26" t="str">
        <f>IF(ListData="Generic",Ltbl[[#This Row],[Generic]],IF(LEN(Ltbl[[#This Row],[CustomerSpecific]])&gt;1,Ltbl[[#This Row],[CustomerSpecific]],Ltbl[[#This Row],[Generic]]))</f>
        <v>SO,TOO</v>
      </c>
    </row>
    <row r="27" spans="2:10">
      <c r="B27" t="s">
        <v>22</v>
      </c>
      <c r="C27" t="s">
        <v>68</v>
      </c>
      <c r="D27" t="s">
        <v>70</v>
      </c>
      <c r="E27" t="s">
        <v>535</v>
      </c>
      <c r="F27" s="1" t="s">
        <v>524</v>
      </c>
      <c r="H27" s="1">
        <f>IF(Ltbl[[#This Row],[Generic]]="",0,LEN(Ltbl[[#This Row],[Generic]])-LEN(SUBSTITUTE(Ltbl[[#This Row],[Generic]],",",""))+1)</f>
        <v>5</v>
      </c>
      <c r="I27" t="str">
        <f>Ltbl[[#This Row],[Context]]&amp;"|"&amp;Ltbl[[#This Row],[Field]]</f>
        <v>oOrders|Service</v>
      </c>
      <c r="J27" t="str">
        <f>IF(ListData="Generic",Ltbl[[#This Row],[Generic]],IF(LEN(Ltbl[[#This Row],[CustomerSpecific]])&gt;1,Ltbl[[#This Row],[CustomerSpecific]],Ltbl[[#This Row],[Generic]]))</f>
        <v>NextDay,SameDay,UK48,IntExp,IntStd</v>
      </c>
    </row>
    <row r="28" spans="2:10">
      <c r="B28" t="s">
        <v>544</v>
      </c>
      <c r="C28" t="s">
        <v>427</v>
      </c>
      <c r="D28" t="s">
        <v>545</v>
      </c>
      <c r="F28" s="1" t="s">
        <v>527</v>
      </c>
      <c r="G28" t="s">
        <v>546</v>
      </c>
      <c r="H28" s="1">
        <f>IF(Ltbl[[#This Row],[Generic]]="",0,LEN(Ltbl[[#This Row],[Generic]])-LEN(SUBSTITUTE(Ltbl[[#This Row],[Generic]],",",""))+1)</f>
        <v>2</v>
      </c>
      <c r="I28" t="str">
        <f>Ltbl[[#This Row],[Context]]&amp;"|"&amp;Ltbl[[#This Row],[Field]]</f>
        <v>oOrders|Cfields|FldType</v>
      </c>
      <c r="J28" t="str">
        <f>IF(ListData="Generic",Ltbl[[#This Row],[Generic]],IF(LEN(Ltbl[[#This Row],[CustomerSpecific]])&gt;1,Ltbl[[#This Row],[CustomerSpecific]],Ltbl[[#This Row],[Generic]]))</f>
        <v>SPPCK,</v>
      </c>
    </row>
    <row r="29" spans="2:10" ht="60">
      <c r="B29" t="s">
        <v>365</v>
      </c>
      <c r="C29" t="s">
        <v>331</v>
      </c>
      <c r="D29" t="s">
        <v>376</v>
      </c>
      <c r="F29" s="1" t="s">
        <v>524</v>
      </c>
      <c r="G29" s="26" t="s">
        <v>547</v>
      </c>
      <c r="H29" s="1">
        <f>IF(Ltbl[[#This Row],[Generic]]="",0,LEN(Ltbl[[#This Row],[Generic]])-LEN(SUBSTITUTE(Ltbl[[#This Row],[Generic]],",",""))+1)</f>
        <v>3</v>
      </c>
      <c r="I29" t="str">
        <f>Ltbl[[#This Row],[Context]]&amp;"|"&amp;Ltbl[[#This Row],[Field]]</f>
        <v>Products|PrdStatus</v>
      </c>
      <c r="J29" t="str">
        <f>IF(ListData="Generic",Ltbl[[#This Row],[Generic]],IF(LEN(Ltbl[[#This Row],[CustomerSpecific]])&gt;1,Ltbl[[#This Row],[CustomerSpecific]],Ltbl[[#This Row],[Generic]]))</f>
        <v>ACTI,SUSP,DISC</v>
      </c>
    </row>
    <row r="30" spans="2:10" ht="120">
      <c r="B30" t="s">
        <v>365</v>
      </c>
      <c r="C30" t="s">
        <v>372</v>
      </c>
      <c r="D30" t="s">
        <v>374</v>
      </c>
      <c r="F30" s="1" t="s">
        <v>524</v>
      </c>
      <c r="G30" s="26" t="s">
        <v>548</v>
      </c>
      <c r="H30" s="1">
        <f>IF(Ltbl[[#This Row],[Generic]]="",0,LEN(Ltbl[[#This Row],[Generic]])-LEN(SUBSTITUTE(Ltbl[[#This Row],[Generic]],",",""))+1)</f>
        <v>4</v>
      </c>
      <c r="I30" t="str">
        <f>Ltbl[[#This Row],[Context]]&amp;"|"&amp;Ltbl[[#This Row],[Field]]</f>
        <v>Products|PrdType</v>
      </c>
      <c r="J30" t="str">
        <f>IF(ListData="Generic",Ltbl[[#This Row],[Generic]],IF(LEN(Ltbl[[#This Row],[CustomerSpecific]])&gt;1,Ltbl[[#This Row],[CustomerSpecific]],Ltbl[[#This Row],[Generic]]))</f>
        <v>STOCK,KIT,CONS,VIRT</v>
      </c>
    </row>
    <row r="31" spans="2:10">
      <c r="B31" t="s">
        <v>356</v>
      </c>
      <c r="C31" t="s">
        <v>331</v>
      </c>
      <c r="D31" t="s">
        <v>343</v>
      </c>
      <c r="F31" s="1" t="s">
        <v>527</v>
      </c>
      <c r="G31" t="s">
        <v>549</v>
      </c>
      <c r="H31" s="1">
        <f>IF(Ltbl[[#This Row],[Generic]]="",0,LEN(Ltbl[[#This Row],[Generic]])-LEN(SUBSTITUTE(Ltbl[[#This Row],[Generic]],",",""))+1)</f>
        <v>2</v>
      </c>
      <c r="I31" t="str">
        <f>Ltbl[[#This Row],[Context]]&amp;"|"&amp;Ltbl[[#This Row],[Field]]</f>
        <v>rOrderLines|PrdStatus</v>
      </c>
      <c r="J31" t="str">
        <f>IF(ListData="Generic",Ltbl[[#This Row],[Generic]],IF(LEN(Ltbl[[#This Row],[CustomerSpecific]])&gt;1,Ltbl[[#This Row],[CustomerSpecific]],Ltbl[[#This Row],[Generic]]))</f>
        <v>GOOD,QA</v>
      </c>
    </row>
    <row r="32" spans="2:10">
      <c r="B32" t="s">
        <v>550</v>
      </c>
      <c r="C32" t="s">
        <v>427</v>
      </c>
      <c r="D32" t="s">
        <v>527</v>
      </c>
      <c r="F32" s="1" t="s">
        <v>527</v>
      </c>
      <c r="G32" t="s">
        <v>551</v>
      </c>
      <c r="H32" s="1">
        <f>IF(Ltbl[[#This Row],[Generic]]="",0,LEN(Ltbl[[#This Row],[Generic]])-LEN(SUBSTITUTE(Ltbl[[#This Row],[Generic]],",",""))+1)</f>
        <v>1</v>
      </c>
      <c r="I32" t="str">
        <f>Ltbl[[#This Row],[Context]]&amp;"|"&amp;Ltbl[[#This Row],[Field]]</f>
        <v>rOrderLines|Cfields|FldType</v>
      </c>
      <c r="J32" t="str">
        <f>IF(ListData="Generic",Ltbl[[#This Row],[Generic]],IF(LEN(Ltbl[[#This Row],[CustomerSpecific]])&gt;1,Ltbl[[#This Row],[CustomerSpecific]],Ltbl[[#This Row],[Generic]]))</f>
        <v>TBC</v>
      </c>
    </row>
    <row r="33" spans="2:10">
      <c r="B33" t="s">
        <v>344</v>
      </c>
      <c r="C33" t="s">
        <v>64</v>
      </c>
      <c r="D33" t="s">
        <v>349</v>
      </c>
      <c r="F33" s="1" t="s">
        <v>527</v>
      </c>
      <c r="H33" s="1">
        <f>IF(Ltbl[[#This Row],[Generic]]="",0,LEN(Ltbl[[#This Row],[Generic]])-LEN(SUBSTITUTE(Ltbl[[#This Row],[Generic]],",",""))+1)</f>
        <v>1</v>
      </c>
      <c r="I33" t="str">
        <f>Ltbl[[#This Row],[Context]]&amp;"|"&amp;Ltbl[[#This Row],[Field]]</f>
        <v>rOrders|Class</v>
      </c>
      <c r="J33" t="str">
        <f>IF(ListData="Generic",Ltbl[[#This Row],[Generic]],IF(LEN(Ltbl[[#This Row],[CustomerSpecific]])&gt;1,Ltbl[[#This Row],[CustomerSpecific]],Ltbl[[#This Row],[Generic]]))</f>
        <v>STD</v>
      </c>
    </row>
    <row r="34" spans="2:10">
      <c r="B34" t="s">
        <v>344</v>
      </c>
      <c r="C34" t="s">
        <v>55</v>
      </c>
      <c r="D34" t="s">
        <v>347</v>
      </c>
      <c r="F34" s="1" t="s">
        <v>524</v>
      </c>
      <c r="G34" t="s">
        <v>552</v>
      </c>
      <c r="H34" s="1">
        <f>IF(Ltbl[[#This Row],[Generic]]="",0,LEN(Ltbl[[#This Row],[Generic]])-LEN(SUBSTITUTE(Ltbl[[#This Row],[Generic]],",",""))+1)</f>
        <v>2</v>
      </c>
      <c r="I34" t="str">
        <f>Ltbl[[#This Row],[Context]]&amp;"|"&amp;Ltbl[[#This Row],[Field]]</f>
        <v>rOrders|OrdType</v>
      </c>
      <c r="J34" t="str">
        <f>IF(ListData="Generic",Ltbl[[#This Row],[Generic]],IF(LEN(Ltbl[[#This Row],[CustomerSpecific]])&gt;1,Ltbl[[#This Row],[CustomerSpecific]],Ltbl[[#This Row],[Generic]]))</f>
        <v>RETK,RETU</v>
      </c>
    </row>
    <row r="35" spans="2:10">
      <c r="B35" t="s">
        <v>553</v>
      </c>
      <c r="C35" t="s">
        <v>427</v>
      </c>
      <c r="D35" t="s">
        <v>527</v>
      </c>
      <c r="F35" s="1" t="s">
        <v>527</v>
      </c>
      <c r="G35" t="s">
        <v>554</v>
      </c>
      <c r="H35" s="1">
        <f>IF(Ltbl[[#This Row],[Generic]]="",0,LEN(Ltbl[[#This Row],[Generic]])-LEN(SUBSTITUTE(Ltbl[[#This Row],[Generic]],",",""))+1)</f>
        <v>1</v>
      </c>
      <c r="I35" t="str">
        <f>Ltbl[[#This Row],[Context]]&amp;"|"&amp;Ltbl[[#This Row],[Field]]</f>
        <v>rOrders|Cfields|FldType</v>
      </c>
      <c r="J35" t="str">
        <f>IF(ListData="Generic",Ltbl[[#This Row],[Generic]],IF(LEN(Ltbl[[#This Row],[CustomerSpecific]])&gt;1,Ltbl[[#This Row],[CustomerSpecific]],Ltbl[[#This Row],[Generic]]))</f>
        <v>TBC</v>
      </c>
    </row>
    <row r="36" spans="2:10">
      <c r="B36" t="s">
        <v>205</v>
      </c>
      <c r="C36" t="s">
        <v>64</v>
      </c>
      <c r="D36" t="s">
        <v>208</v>
      </c>
      <c r="F36" s="1" t="s">
        <v>527</v>
      </c>
      <c r="H36" s="1">
        <f>IF(Ltbl[[#This Row],[Generic]]="",0,LEN(Ltbl[[#This Row],[Generic]])-LEN(SUBSTITUTE(Ltbl[[#This Row],[Generic]],",",""))+1)</f>
        <v>1</v>
      </c>
      <c r="I36" t="str">
        <f>Ltbl[[#This Row],[Context]]&amp;"|"&amp;Ltbl[[#This Row],[Field]]</f>
        <v>wOrders|Class</v>
      </c>
      <c r="J36" t="str">
        <f>IF(ListData="Generic",Ltbl[[#This Row],[Generic]],IF(LEN(Ltbl[[#This Row],[CustomerSpecific]])&gt;1,Ltbl[[#This Row],[CustomerSpecific]],Ltbl[[#This Row],[Generic]]))</f>
        <v>WO</v>
      </c>
    </row>
    <row r="37" spans="2:10">
      <c r="B37" t="s">
        <v>205</v>
      </c>
      <c r="C37" t="s">
        <v>55</v>
      </c>
      <c r="D37" t="s">
        <v>208</v>
      </c>
      <c r="F37" s="1" t="s">
        <v>527</v>
      </c>
      <c r="H37" s="1">
        <f>IF(Ltbl[[#This Row],[Generic]]="",0,LEN(Ltbl[[#This Row],[Generic]])-LEN(SUBSTITUTE(Ltbl[[#This Row],[Generic]],",",""))+1)</f>
        <v>1</v>
      </c>
      <c r="I37" t="str">
        <f>Ltbl[[#This Row],[Context]]&amp;"|"&amp;Ltbl[[#This Row],[Field]]</f>
        <v>wOrders|OrdType</v>
      </c>
      <c r="J37" t="str">
        <f>IF(ListData="Generic",Ltbl[[#This Row],[Generic]],IF(LEN(Ltbl[[#This Row],[CustomerSpecific]])&gt;1,Ltbl[[#This Row],[CustomerSpecific]],Ltbl[[#This Row],[Generic]]))</f>
        <v>WO</v>
      </c>
    </row>
    <row r="38" spans="2:10">
      <c r="B38" t="s">
        <v>555</v>
      </c>
      <c r="C38" t="s">
        <v>427</v>
      </c>
      <c r="D38" t="s">
        <v>527</v>
      </c>
      <c r="F38" s="1" t="s">
        <v>527</v>
      </c>
      <c r="G38" t="s">
        <v>556</v>
      </c>
      <c r="H38" s="1">
        <f>IF(Ltbl[[#This Row],[Generic]]="",0,LEN(Ltbl[[#This Row],[Generic]])-LEN(SUBSTITUTE(Ltbl[[#This Row],[Generic]],",",""))+1)</f>
        <v>1</v>
      </c>
      <c r="I38" t="str">
        <f>Ltbl[[#This Row],[Context]]&amp;"|"&amp;Ltbl[[#This Row],[Field]]</f>
        <v>wOrders|Cfields|FldType</v>
      </c>
      <c r="J38" t="str">
        <f>IF(ListData="Generic",Ltbl[[#This Row],[Generic]],IF(LEN(Ltbl[[#This Row],[CustomerSpecific]])&gt;1,Ltbl[[#This Row],[CustomerSpecific]],Ltbl[[#This Row],[Generic]]))</f>
        <v>TBC</v>
      </c>
    </row>
  </sheetData>
  <conditionalFormatting sqref="F4:F38">
    <cfRule type="cellIs" dxfId="107" priority="1" operator="equal">
      <formula>"TBC"</formula>
    </cfRule>
    <cfRule type="cellIs" dxfId="106" priority="2" operator="equal">
      <formula>"OK"</formula>
    </cfRule>
  </conditionalFormatting>
  <pageMargins left="0.7" right="0.7" top="0.75" bottom="0.75" header="0.3" footer="0.3"/>
  <pageSetup paperSize="9"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3FA25-A39A-4837-8DAE-CA3D9BDAA985}">
  <sheetPr codeName="Sheet15">
    <tabColor rgb="FF0070C0"/>
  </sheetPr>
  <dimension ref="A1:A55"/>
  <sheetViews>
    <sheetView workbookViewId="0"/>
  </sheetViews>
  <sheetFormatPr defaultRowHeight="15"/>
  <cols>
    <col min="1" max="1" width="78.28515625" customWidth="1"/>
    <col min="2" max="2" width="31.28515625" customWidth="1"/>
  </cols>
  <sheetData>
    <row r="1" spans="1:1" ht="31.5" customHeight="1">
      <c r="A1" s="21" t="s">
        <v>557</v>
      </c>
    </row>
    <row r="2" spans="1:1">
      <c r="A2" t="s">
        <v>558</v>
      </c>
    </row>
    <row r="3" spans="1:1">
      <c r="A3" t="s">
        <v>559</v>
      </c>
    </row>
    <row r="4" spans="1:1">
      <c r="A4" t="s">
        <v>560</v>
      </c>
    </row>
    <row r="5" spans="1:1">
      <c r="A5" t="s">
        <v>561</v>
      </c>
    </row>
    <row r="6" spans="1:1">
      <c r="A6" t="s">
        <v>562</v>
      </c>
    </row>
    <row r="7" spans="1:1">
      <c r="A7" t="s">
        <v>563</v>
      </c>
    </row>
    <row r="8" spans="1:1">
      <c r="A8" t="s">
        <v>564</v>
      </c>
    </row>
    <row r="9" spans="1:1">
      <c r="A9" t="s">
        <v>565</v>
      </c>
    </row>
    <row r="10" spans="1:1">
      <c r="A10" t="s">
        <v>566</v>
      </c>
    </row>
    <row r="11" spans="1:1">
      <c r="A11" t="s">
        <v>567</v>
      </c>
    </row>
    <row r="12" spans="1:1">
      <c r="A12" t="s">
        <v>568</v>
      </c>
    </row>
    <row r="13" spans="1:1">
      <c r="A13" t="s">
        <v>569</v>
      </c>
    </row>
    <row r="14" spans="1:1">
      <c r="A14" t="s">
        <v>570</v>
      </c>
    </row>
    <row r="15" spans="1:1">
      <c r="A15" t="s">
        <v>571</v>
      </c>
    </row>
    <row r="16" spans="1:1">
      <c r="A16" t="s">
        <v>572</v>
      </c>
    </row>
    <row r="17" spans="1:1">
      <c r="A17" t="s">
        <v>573</v>
      </c>
    </row>
    <row r="18" spans="1:1">
      <c r="A18" t="s">
        <v>574</v>
      </c>
    </row>
    <row r="19" spans="1:1">
      <c r="A19" t="s">
        <v>575</v>
      </c>
    </row>
    <row r="20" spans="1:1">
      <c r="A20" t="s">
        <v>576</v>
      </c>
    </row>
    <row r="21" spans="1:1">
      <c r="A21" t="s">
        <v>577</v>
      </c>
    </row>
    <row r="22" spans="1:1">
      <c r="A22" t="s">
        <v>578</v>
      </c>
    </row>
    <row r="23" spans="1:1">
      <c r="A23" t="s">
        <v>579</v>
      </c>
    </row>
    <row r="24" spans="1:1">
      <c r="A24" t="s">
        <v>580</v>
      </c>
    </row>
    <row r="25" spans="1:1">
      <c r="A25" t="s">
        <v>581</v>
      </c>
    </row>
    <row r="26" spans="1:1">
      <c r="A26" t="s">
        <v>582</v>
      </c>
    </row>
    <row r="27" spans="1:1">
      <c r="A27" t="s">
        <v>583</v>
      </c>
    </row>
    <row r="28" spans="1:1">
      <c r="A28" t="s">
        <v>584</v>
      </c>
    </row>
    <row r="29" spans="1:1">
      <c r="A29" t="s">
        <v>585</v>
      </c>
    </row>
    <row r="30" spans="1:1">
      <c r="A30" t="s">
        <v>586</v>
      </c>
    </row>
    <row r="31" spans="1:1">
      <c r="A31" t="s">
        <v>587</v>
      </c>
    </row>
    <row r="32" spans="1:1">
      <c r="A32" t="s">
        <v>588</v>
      </c>
    </row>
    <row r="33" spans="1:1">
      <c r="A33" t="s">
        <v>589</v>
      </c>
    </row>
    <row r="34" spans="1:1">
      <c r="A34" t="s">
        <v>590</v>
      </c>
    </row>
    <row r="35" spans="1:1">
      <c r="A35" t="s">
        <v>591</v>
      </c>
    </row>
    <row r="36" spans="1:1">
      <c r="A36" t="s">
        <v>592</v>
      </c>
    </row>
    <row r="37" spans="1:1">
      <c r="A37" t="s">
        <v>593</v>
      </c>
    </row>
    <row r="38" spans="1:1">
      <c r="A38" t="s">
        <v>594</v>
      </c>
    </row>
    <row r="39" spans="1:1">
      <c r="A39" t="s">
        <v>595</v>
      </c>
    </row>
    <row r="40" spans="1:1">
      <c r="A40" t="s">
        <v>596</v>
      </c>
    </row>
    <row r="41" spans="1:1">
      <c r="A41" t="s">
        <v>597</v>
      </c>
    </row>
    <row r="42" spans="1:1">
      <c r="A42" t="s">
        <v>598</v>
      </c>
    </row>
    <row r="43" spans="1:1">
      <c r="A43" t="s">
        <v>599</v>
      </c>
    </row>
    <row r="44" spans="1:1">
      <c r="A44" t="s">
        <v>600</v>
      </c>
    </row>
    <row r="45" spans="1:1">
      <c r="A45" t="s">
        <v>590</v>
      </c>
    </row>
    <row r="46" spans="1:1">
      <c r="A46" t="s">
        <v>601</v>
      </c>
    </row>
    <row r="47" spans="1:1">
      <c r="A47" t="s">
        <v>602</v>
      </c>
    </row>
    <row r="48" spans="1:1">
      <c r="A48" t="s">
        <v>603</v>
      </c>
    </row>
    <row r="49" spans="1:1">
      <c r="A49" t="s">
        <v>604</v>
      </c>
    </row>
    <row r="50" spans="1:1">
      <c r="A50" t="s">
        <v>605</v>
      </c>
    </row>
    <row r="51" spans="1:1">
      <c r="A51" t="s">
        <v>598</v>
      </c>
    </row>
    <row r="52" spans="1:1">
      <c r="A52" t="s">
        <v>606</v>
      </c>
    </row>
    <row r="53" spans="1:1">
      <c r="A53" t="s">
        <v>607</v>
      </c>
    </row>
    <row r="54" spans="1:1">
      <c r="A54" t="s">
        <v>608</v>
      </c>
    </row>
    <row r="55" spans="1:1">
      <c r="A55" t="s">
        <v>609</v>
      </c>
    </row>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33D37-82E9-4BDE-BF79-B1CBB4817380}">
  <sheetPr codeName="Sheet7"/>
  <dimension ref="A1:B2"/>
  <sheetViews>
    <sheetView workbookViewId="0">
      <selection activeCell="J13" sqref="J13"/>
    </sheetView>
  </sheetViews>
  <sheetFormatPr defaultRowHeight="15"/>
  <sheetData>
    <row r="1" spans="1:2">
      <c r="A1" t="s">
        <v>610</v>
      </c>
      <c r="B1" t="s">
        <v>611</v>
      </c>
    </row>
    <row r="2" spans="1:2">
      <c r="A2" t="s">
        <v>612</v>
      </c>
      <c r="B2">
        <v>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DA8D7-388F-4347-9F4F-F6F610F92E9C}">
  <sheetPr codeName="Sheet2">
    <tabColor rgb="FF0070C0"/>
  </sheetPr>
  <dimension ref="C2:AA17"/>
  <sheetViews>
    <sheetView workbookViewId="0">
      <selection activeCell="F3" sqref="F3"/>
    </sheetView>
  </sheetViews>
  <sheetFormatPr defaultRowHeight="15"/>
  <cols>
    <col min="3" max="3" width="16.140625" customWidth="1"/>
    <col min="4" max="4" width="15" customWidth="1"/>
    <col min="5" max="5" width="10.140625" customWidth="1"/>
    <col min="6" max="6" width="11.42578125" customWidth="1"/>
    <col min="8" max="8" width="13.28515625" customWidth="1"/>
    <col min="12" max="12" width="41.5703125" customWidth="1"/>
    <col min="13" max="13" width="16.140625" customWidth="1"/>
    <col min="14" max="14" width="14.28515625" customWidth="1"/>
    <col min="15" max="15" width="17.7109375" customWidth="1"/>
    <col min="16" max="25" width="11.5703125" customWidth="1"/>
  </cols>
  <sheetData>
    <row r="2" spans="3:27">
      <c r="Q2" s="6" t="s">
        <v>2</v>
      </c>
      <c r="R2" s="5" t="s">
        <v>613</v>
      </c>
      <c r="S2" s="5" t="s">
        <v>614</v>
      </c>
      <c r="T2" s="5" t="s">
        <v>615</v>
      </c>
      <c r="U2" s="5" t="s">
        <v>616</v>
      </c>
    </row>
    <row r="3" spans="3:27">
      <c r="C3" t="s">
        <v>617</v>
      </c>
      <c r="D3" t="s">
        <v>618</v>
      </c>
      <c r="E3" s="4" t="s">
        <v>619</v>
      </c>
      <c r="F3" t="s">
        <v>620</v>
      </c>
      <c r="G3" t="s">
        <v>621</v>
      </c>
      <c r="H3" t="s">
        <v>622</v>
      </c>
      <c r="I3">
        <v>4</v>
      </c>
      <c r="J3">
        <v>76</v>
      </c>
      <c r="Q3" s="7"/>
    </row>
    <row r="4" spans="3:27">
      <c r="C4" t="s">
        <v>25</v>
      </c>
      <c r="D4" t="s">
        <v>2</v>
      </c>
      <c r="F4" t="s">
        <v>623</v>
      </c>
    </row>
    <row r="5" spans="3:27">
      <c r="C5" t="s">
        <v>624</v>
      </c>
      <c r="D5" t="s">
        <v>625</v>
      </c>
      <c r="O5" s="5" t="s">
        <v>626</v>
      </c>
      <c r="P5" s="8"/>
      <c r="Q5" s="8"/>
      <c r="R5" s="8"/>
      <c r="S5" s="8"/>
      <c r="T5" s="8"/>
      <c r="U5" s="8"/>
      <c r="V5" s="8"/>
      <c r="W5" s="8"/>
      <c r="X5" s="8"/>
      <c r="Y5" s="8"/>
      <c r="Z5" s="8"/>
      <c r="AA5" s="9"/>
    </row>
    <row r="6" spans="3:27">
      <c r="D6" t="s">
        <v>627</v>
      </c>
      <c r="O6" s="5" t="s">
        <v>456</v>
      </c>
      <c r="P6" s="10"/>
      <c r="Q6" s="10"/>
      <c r="R6" s="10"/>
      <c r="S6" s="10"/>
      <c r="T6" s="10"/>
      <c r="U6" s="10"/>
      <c r="V6" s="10"/>
      <c r="W6" s="10"/>
      <c r="X6" s="10"/>
      <c r="Y6" s="10"/>
      <c r="Z6" s="8"/>
      <c r="AA6" s="9"/>
    </row>
    <row r="7" spans="3:27">
      <c r="D7" t="s">
        <v>615</v>
      </c>
      <c r="O7" s="5" t="s">
        <v>2</v>
      </c>
      <c r="P7" s="8"/>
      <c r="Q7" s="8"/>
      <c r="R7" s="8"/>
      <c r="S7" s="8"/>
      <c r="T7" s="8"/>
      <c r="U7" s="8"/>
      <c r="V7" s="8"/>
      <c r="W7" s="8"/>
      <c r="X7" s="8"/>
      <c r="Y7" s="8"/>
      <c r="Z7" s="8"/>
      <c r="AA7" s="9"/>
    </row>
    <row r="8" spans="3:27">
      <c r="O8" s="5" t="s">
        <v>628</v>
      </c>
      <c r="P8" s="8"/>
      <c r="Q8" s="8"/>
      <c r="R8" s="8"/>
      <c r="S8" s="8"/>
      <c r="T8" s="8"/>
      <c r="U8" s="8"/>
      <c r="V8" s="8"/>
      <c r="W8" s="8"/>
      <c r="X8" s="8"/>
      <c r="Y8" s="8"/>
      <c r="Z8" s="8"/>
      <c r="AA8" s="9"/>
    </row>
    <row r="13" spans="3:27">
      <c r="M13" t="s">
        <v>629</v>
      </c>
      <c r="N13" t="s">
        <v>10</v>
      </c>
      <c r="O13" t="s">
        <v>123</v>
      </c>
      <c r="P13" t="s">
        <v>630</v>
      </c>
      <c r="Q13" t="s">
        <v>631</v>
      </c>
      <c r="R13" t="s">
        <v>632</v>
      </c>
    </row>
    <row r="14" spans="3:27">
      <c r="M14" t="str">
        <f>Qtbl[[#This Row],[Context]]&amp;"|"&amp;Qtbl[[#This Row],[Ref]]</f>
        <v>SOHEADER|CUSTOMFldGrp</v>
      </c>
      <c r="N14" t="s">
        <v>633</v>
      </c>
      <c r="O14" t="s">
        <v>634</v>
      </c>
      <c r="P14" t="s">
        <v>635</v>
      </c>
      <c r="Q14" t="s">
        <v>636</v>
      </c>
      <c r="R14" t="s">
        <v>637</v>
      </c>
    </row>
    <row r="15" spans="3:27">
      <c r="M15" t="str">
        <f>Qtbl[[#This Row],[Context]]&amp;"|"&amp;Qtbl[[#This Row],[Ref]]</f>
        <v>SOHEADER|CUSTOMFldGrp</v>
      </c>
      <c r="N15" t="s">
        <v>633</v>
      </c>
      <c r="O15" t="s">
        <v>634</v>
      </c>
      <c r="P15" t="s">
        <v>638</v>
      </c>
      <c r="Q15" t="s">
        <v>639</v>
      </c>
      <c r="R15" t="s">
        <v>640</v>
      </c>
    </row>
    <row r="16" spans="3:27">
      <c r="M16" t="str">
        <f>Qtbl[[#This Row],[Context]]&amp;"|"&amp;Qtbl[[#This Row],[Ref]]</f>
        <v>SOLINE|CUSTOMFldGrp</v>
      </c>
      <c r="N16" t="s">
        <v>641</v>
      </c>
      <c r="O16" t="s">
        <v>634</v>
      </c>
      <c r="P16" t="s">
        <v>642</v>
      </c>
      <c r="Q16" t="s">
        <v>643</v>
      </c>
      <c r="R16">
        <v>1</v>
      </c>
    </row>
    <row r="17" spans="9:18">
      <c r="I17" s="3"/>
      <c r="M17" t="str">
        <f>Qtbl[[#This Row],[Context]]&amp;"|"&amp;Qtbl[[#This Row],[Ref]]</f>
        <v>SOLINE|CUSTOMFldGrp</v>
      </c>
      <c r="N17" t="s">
        <v>641</v>
      </c>
      <c r="O17" t="s">
        <v>634</v>
      </c>
      <c r="P17" t="s">
        <v>644</v>
      </c>
      <c r="Q17" t="s">
        <v>645</v>
      </c>
      <c r="R17" t="s">
        <v>646</v>
      </c>
    </row>
  </sheetData>
  <conditionalFormatting sqref="I17">
    <cfRule type="expression" dxfId="101" priority="8">
      <formula>($A17="RefElement")</formula>
    </cfRule>
    <cfRule type="expression" dxfId="100" priority="9">
      <formula>($A17="~H")</formula>
    </cfRule>
    <cfRule type="expression" dxfId="99" priority="10">
      <formula>($A17="REF")</formula>
    </cfRule>
    <cfRule type="expression" dxfId="98" priority="11">
      <formula>($A17="C")</formula>
    </cfRule>
    <cfRule type="expression" dxfId="97" priority="12">
      <formula>($A17="H")</formula>
    </cfRule>
  </conditionalFormatting>
  <conditionalFormatting sqref="I17">
    <cfRule type="expression" dxfId="96" priority="13">
      <formula>AND($A17="E",#REF!&lt;&gt;1)</formula>
    </cfRule>
    <cfRule type="expression" dxfId="95" priority="14">
      <formula>(#REF!=1)</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FDF9-22AA-4CC2-9CBF-06AAB5215C2C}">
  <sheetPr codeName="Sheet10">
    <tabColor rgb="FF0070C0"/>
  </sheetPr>
  <dimension ref="B3:H9"/>
  <sheetViews>
    <sheetView workbookViewId="0">
      <selection activeCell="B9" sqref="B9"/>
    </sheetView>
  </sheetViews>
  <sheetFormatPr defaultRowHeight="15"/>
  <cols>
    <col min="2" max="2" width="16.85546875" customWidth="1"/>
    <col min="3" max="3" width="11.28515625" customWidth="1"/>
    <col min="4" max="4" width="12.28515625" customWidth="1"/>
    <col min="5" max="5" width="51.7109375" customWidth="1"/>
    <col min="6" max="6" width="29.42578125" customWidth="1"/>
    <col min="7" max="7" width="13.140625" customWidth="1"/>
    <col min="8" max="8" width="34.85546875" customWidth="1"/>
  </cols>
  <sheetData>
    <row r="3" spans="2:8">
      <c r="B3" t="s">
        <v>10</v>
      </c>
      <c r="C3" t="s">
        <v>427</v>
      </c>
      <c r="D3" t="s">
        <v>647</v>
      </c>
      <c r="E3" t="s">
        <v>648</v>
      </c>
      <c r="F3" t="s">
        <v>649</v>
      </c>
      <c r="G3" t="s">
        <v>650</v>
      </c>
      <c r="H3" t="s">
        <v>651</v>
      </c>
    </row>
    <row r="4" spans="2:8">
      <c r="B4" t="s">
        <v>652</v>
      </c>
      <c r="C4" t="s">
        <v>644</v>
      </c>
      <c r="D4" t="s">
        <v>653</v>
      </c>
      <c r="E4" t="s">
        <v>654</v>
      </c>
      <c r="F4" t="s">
        <v>655</v>
      </c>
      <c r="G4" t="s">
        <v>656</v>
      </c>
      <c r="H4" t="s">
        <v>657</v>
      </c>
    </row>
    <row r="5" spans="2:8">
      <c r="B5" t="s">
        <v>652</v>
      </c>
      <c r="C5" t="s">
        <v>658</v>
      </c>
      <c r="D5" t="s">
        <v>653</v>
      </c>
      <c r="E5" t="s">
        <v>659</v>
      </c>
      <c r="F5" s="3" t="s">
        <v>660</v>
      </c>
      <c r="G5" t="s">
        <v>661</v>
      </c>
      <c r="H5" t="s">
        <v>662</v>
      </c>
    </row>
    <row r="6" spans="2:8">
      <c r="B6" t="s">
        <v>663</v>
      </c>
      <c r="C6" t="s">
        <v>644</v>
      </c>
      <c r="D6" t="s">
        <v>653</v>
      </c>
      <c r="E6" t="s">
        <v>654</v>
      </c>
      <c r="F6" t="s">
        <v>655</v>
      </c>
      <c r="G6" t="s">
        <v>656</v>
      </c>
      <c r="H6" t="s">
        <v>657</v>
      </c>
    </row>
    <row r="7" spans="2:8">
      <c r="B7" t="s">
        <v>663</v>
      </c>
      <c r="C7" t="s">
        <v>658</v>
      </c>
      <c r="D7" t="s">
        <v>653</v>
      </c>
      <c r="E7" t="s">
        <v>664</v>
      </c>
      <c r="F7" s="3" t="s">
        <v>665</v>
      </c>
      <c r="G7" t="s">
        <v>661</v>
      </c>
      <c r="H7" t="s">
        <v>662</v>
      </c>
    </row>
    <row r="8" spans="2:8">
      <c r="B8" t="s">
        <v>663</v>
      </c>
      <c r="C8" t="s">
        <v>642</v>
      </c>
      <c r="D8" t="s">
        <v>84</v>
      </c>
      <c r="E8" t="s">
        <v>666</v>
      </c>
      <c r="F8" t="s">
        <v>667</v>
      </c>
      <c r="G8" t="s">
        <v>668</v>
      </c>
      <c r="H8" t="s">
        <v>669</v>
      </c>
    </row>
    <row r="9" spans="2:8">
      <c r="B9" t="s">
        <v>544</v>
      </c>
    </row>
  </sheetData>
  <conditionalFormatting sqref="F7">
    <cfRule type="expression" dxfId="93" priority="8">
      <formula>($A7="RefElement")</formula>
    </cfRule>
    <cfRule type="expression" dxfId="92" priority="9">
      <formula>($A7="~H")</formula>
    </cfRule>
    <cfRule type="expression" dxfId="91" priority="10">
      <formula>($A7="REF")</formula>
    </cfRule>
    <cfRule type="expression" dxfId="90" priority="11">
      <formula>($A7="C")</formula>
    </cfRule>
    <cfRule type="expression" dxfId="89" priority="12">
      <formula>($A7="H")</formula>
    </cfRule>
  </conditionalFormatting>
  <conditionalFormatting sqref="F7">
    <cfRule type="expression" dxfId="88" priority="13">
      <formula>AND($A7="E",#REF!&lt;&gt;1)</formula>
    </cfRule>
    <cfRule type="expression" dxfId="87" priority="14">
      <formula>(#REF!=1)</formula>
    </cfRule>
  </conditionalFormatting>
  <conditionalFormatting sqref="F5">
    <cfRule type="expression" dxfId="86" priority="1">
      <formula>($A5="RefElement")</formula>
    </cfRule>
    <cfRule type="expression" dxfId="85" priority="2">
      <formula>($A5="~H")</formula>
    </cfRule>
    <cfRule type="expression" dxfId="84" priority="3">
      <formula>($A5="REF")</formula>
    </cfRule>
    <cfRule type="expression" dxfId="83" priority="4">
      <formula>($A5="C")</formula>
    </cfRule>
    <cfRule type="expression" dxfId="82" priority="5">
      <formula>($A5="H")</formula>
    </cfRule>
  </conditionalFormatting>
  <conditionalFormatting sqref="F5">
    <cfRule type="expression" dxfId="81" priority="6">
      <formula>AND($A5="E",#REF!&lt;&gt;1)</formula>
    </cfRule>
    <cfRule type="expression" dxfId="80" priority="7">
      <formula>(#REF!=1)</formula>
    </cfRule>
  </conditionalFormatting>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66A0E-BF3D-439F-BE63-6E5528F33308}">
  <sheetPr codeName="Sheet6">
    <tabColor rgb="FF0070C0"/>
  </sheetPr>
  <dimension ref="A1:F82"/>
  <sheetViews>
    <sheetView workbookViewId="0">
      <selection activeCell="A7" sqref="A7"/>
    </sheetView>
  </sheetViews>
  <sheetFormatPr defaultRowHeight="15"/>
  <cols>
    <col min="1" max="1" width="86" customWidth="1"/>
    <col min="2" max="2" width="26.7109375" customWidth="1"/>
    <col min="5" max="5" width="15.28515625" customWidth="1"/>
    <col min="6" max="6" width="15.42578125" customWidth="1"/>
  </cols>
  <sheetData>
    <row r="1" spans="1:6" ht="23.25" customHeight="1">
      <c r="A1" s="21" t="s">
        <v>670</v>
      </c>
      <c r="B1" s="23" t="s">
        <v>20</v>
      </c>
      <c r="C1" t="s">
        <v>671</v>
      </c>
      <c r="E1" s="22" t="str">
        <f>IF(COUNTIFS(A:A,"Err*")&gt;0,COUNTIFS(A:A,"Err*") &amp; " Reference Errors","")</f>
        <v/>
      </c>
    </row>
    <row r="2" spans="1:6">
      <c r="A2" t="s">
        <v>672</v>
      </c>
      <c r="E2" s="24" t="s">
        <v>673</v>
      </c>
      <c r="F2" s="8" t="s">
        <v>674</v>
      </c>
    </row>
    <row r="3" spans="1:6">
      <c r="A3" t="s">
        <v>675</v>
      </c>
    </row>
    <row r="4" spans="1:6">
      <c r="A4" t="s">
        <v>676</v>
      </c>
      <c r="B4" t="s">
        <v>677</v>
      </c>
    </row>
    <row r="5" spans="1:6">
      <c r="A5" t="s">
        <v>678</v>
      </c>
    </row>
    <row r="6" spans="1:6">
      <c r="A6" t="s">
        <v>679</v>
      </c>
    </row>
    <row r="7" spans="1:6">
      <c r="A7" t="s">
        <v>680</v>
      </c>
    </row>
    <row r="8" spans="1:6">
      <c r="A8" t="s">
        <v>681</v>
      </c>
      <c r="B8" s="2"/>
    </row>
    <row r="9" spans="1:6">
      <c r="A9" t="s">
        <v>682</v>
      </c>
    </row>
    <row r="10" spans="1:6">
      <c r="A10" t="s">
        <v>683</v>
      </c>
    </row>
    <row r="11" spans="1:6">
      <c r="A11" t="s">
        <v>684</v>
      </c>
      <c r="B11" t="s">
        <v>685</v>
      </c>
    </row>
    <row r="12" spans="1:6">
      <c r="A12" t="s">
        <v>686</v>
      </c>
    </row>
    <row r="13" spans="1:6">
      <c r="A13" t="s">
        <v>687</v>
      </c>
    </row>
    <row r="14" spans="1:6">
      <c r="A14" t="s">
        <v>688</v>
      </c>
    </row>
    <row r="15" spans="1:6">
      <c r="A15" t="s">
        <v>689</v>
      </c>
    </row>
    <row r="16" spans="1:6">
      <c r="A16" t="s">
        <v>690</v>
      </c>
    </row>
    <row r="17" spans="1:3">
      <c r="A17" t="s">
        <v>691</v>
      </c>
    </row>
    <row r="18" spans="1:3">
      <c r="A18" t="s">
        <v>692</v>
      </c>
    </row>
    <row r="19" spans="1:3">
      <c r="A19" t="s">
        <v>693</v>
      </c>
      <c r="B19" t="s">
        <v>694</v>
      </c>
    </row>
    <row r="20" spans="1:3">
      <c r="A20" t="s">
        <v>695</v>
      </c>
    </row>
    <row r="21" spans="1:3">
      <c r="A21" t="s">
        <v>696</v>
      </c>
    </row>
    <row r="22" spans="1:3">
      <c r="A22" t="s">
        <v>697</v>
      </c>
      <c r="B22" t="s">
        <v>698</v>
      </c>
    </row>
    <row r="23" spans="1:3">
      <c r="A23" t="s">
        <v>699</v>
      </c>
    </row>
    <row r="24" spans="1:3">
      <c r="A24" t="s">
        <v>700</v>
      </c>
    </row>
    <row r="25" spans="1:3">
      <c r="A25" t="s">
        <v>701</v>
      </c>
    </row>
    <row r="26" spans="1:3">
      <c r="A26" t="s">
        <v>702</v>
      </c>
    </row>
    <row r="27" spans="1:3">
      <c r="A27" t="s">
        <v>703</v>
      </c>
    </row>
    <row r="28" spans="1:3">
      <c r="A28" t="s">
        <v>704</v>
      </c>
      <c r="B28" t="s">
        <v>705</v>
      </c>
      <c r="C28" t="s">
        <v>706</v>
      </c>
    </row>
    <row r="29" spans="1:3">
      <c r="A29" t="s">
        <v>707</v>
      </c>
    </row>
    <row r="30" spans="1:3">
      <c r="A30" t="s">
        <v>708</v>
      </c>
    </row>
    <row r="31" spans="1:3">
      <c r="A31" t="s">
        <v>709</v>
      </c>
    </row>
    <row r="32" spans="1:3">
      <c r="A32" t="s">
        <v>710</v>
      </c>
    </row>
    <row r="33" spans="1:2">
      <c r="A33" t="s">
        <v>711</v>
      </c>
    </row>
    <row r="34" spans="1:2">
      <c r="A34" t="s">
        <v>712</v>
      </c>
    </row>
    <row r="35" spans="1:2">
      <c r="A35" t="s">
        <v>713</v>
      </c>
    </row>
    <row r="36" spans="1:2">
      <c r="A36" t="s">
        <v>714</v>
      </c>
    </row>
    <row r="37" spans="1:2">
      <c r="A37" t="s">
        <v>715</v>
      </c>
    </row>
    <row r="38" spans="1:2">
      <c r="A38" t="s">
        <v>716</v>
      </c>
    </row>
    <row r="39" spans="1:2">
      <c r="A39" t="s">
        <v>717</v>
      </c>
    </row>
    <row r="40" spans="1:2">
      <c r="A40" t="s">
        <v>718</v>
      </c>
    </row>
    <row r="41" spans="1:2">
      <c r="A41" t="s">
        <v>719</v>
      </c>
    </row>
    <row r="42" spans="1:2">
      <c r="A42" t="s">
        <v>720</v>
      </c>
    </row>
    <row r="43" spans="1:2">
      <c r="A43" t="s">
        <v>721</v>
      </c>
    </row>
    <row r="44" spans="1:2">
      <c r="A44" t="s">
        <v>722</v>
      </c>
    </row>
    <row r="45" spans="1:2">
      <c r="A45" t="s">
        <v>723</v>
      </c>
    </row>
    <row r="46" spans="1:2">
      <c r="A46" t="s">
        <v>724</v>
      </c>
    </row>
    <row r="47" spans="1:2">
      <c r="A47" t="s">
        <v>725</v>
      </c>
      <c r="B47" t="s">
        <v>726</v>
      </c>
    </row>
    <row r="48" spans="1:2">
      <c r="A48" t="s">
        <v>727</v>
      </c>
      <c r="B48" t="s">
        <v>728</v>
      </c>
    </row>
    <row r="49" spans="1:3">
      <c r="A49" t="s">
        <v>729</v>
      </c>
    </row>
    <row r="50" spans="1:3">
      <c r="A50" t="s">
        <v>730</v>
      </c>
    </row>
    <row r="51" spans="1:3">
      <c r="A51" t="s">
        <v>731</v>
      </c>
    </row>
    <row r="52" spans="1:3">
      <c r="A52" t="s">
        <v>732</v>
      </c>
    </row>
    <row r="53" spans="1:3">
      <c r="A53" t="s">
        <v>733</v>
      </c>
      <c r="B53" t="s">
        <v>734</v>
      </c>
      <c r="C53" t="s">
        <v>735</v>
      </c>
    </row>
    <row r="54" spans="1:3">
      <c r="A54" t="s">
        <v>736</v>
      </c>
    </row>
    <row r="55" spans="1:3">
      <c r="A55" t="s">
        <v>737</v>
      </c>
    </row>
    <row r="56" spans="1:3">
      <c r="A56" t="s">
        <v>738</v>
      </c>
    </row>
    <row r="57" spans="1:3">
      <c r="A57" t="s">
        <v>739</v>
      </c>
    </row>
    <row r="58" spans="1:3">
      <c r="A58" t="s">
        <v>740</v>
      </c>
    </row>
    <row r="59" spans="1:3">
      <c r="A59" t="s">
        <v>741</v>
      </c>
      <c r="B59" t="s">
        <v>742</v>
      </c>
    </row>
    <row r="60" spans="1:3">
      <c r="A60" t="s">
        <v>743</v>
      </c>
    </row>
    <row r="61" spans="1:3">
      <c r="A61" t="s">
        <v>744</v>
      </c>
    </row>
    <row r="62" spans="1:3">
      <c r="A62" t="s">
        <v>745</v>
      </c>
    </row>
    <row r="63" spans="1:3">
      <c r="A63" t="s">
        <v>746</v>
      </c>
    </row>
    <row r="64" spans="1:3">
      <c r="A64" t="s">
        <v>747</v>
      </c>
    </row>
    <row r="65" spans="1:3">
      <c r="A65" t="s">
        <v>748</v>
      </c>
    </row>
    <row r="66" spans="1:3">
      <c r="A66" t="s">
        <v>749</v>
      </c>
    </row>
    <row r="67" spans="1:3">
      <c r="A67" t="s">
        <v>750</v>
      </c>
    </row>
    <row r="68" spans="1:3">
      <c r="A68" t="s">
        <v>751</v>
      </c>
    </row>
    <row r="69" spans="1:3">
      <c r="A69" t="s">
        <v>752</v>
      </c>
    </row>
    <row r="70" spans="1:3">
      <c r="A70" t="s">
        <v>753</v>
      </c>
    </row>
    <row r="71" spans="1:3">
      <c r="A71" t="s">
        <v>754</v>
      </c>
    </row>
    <row r="72" spans="1:3">
      <c r="A72" t="s">
        <v>755</v>
      </c>
      <c r="B72" t="s">
        <v>756</v>
      </c>
      <c r="C72" t="s">
        <v>757</v>
      </c>
    </row>
    <row r="73" spans="1:3">
      <c r="A73" t="s">
        <v>758</v>
      </c>
    </row>
    <row r="74" spans="1:3">
      <c r="A74" t="s">
        <v>759</v>
      </c>
    </row>
    <row r="75" spans="1:3">
      <c r="A75" t="s">
        <v>760</v>
      </c>
    </row>
    <row r="76" spans="1:3">
      <c r="A76" t="s">
        <v>761</v>
      </c>
    </row>
    <row r="77" spans="1:3">
      <c r="A77" t="s">
        <v>762</v>
      </c>
    </row>
    <row r="78" spans="1:3">
      <c r="A78" t="s">
        <v>763</v>
      </c>
      <c r="B78" t="s">
        <v>764</v>
      </c>
    </row>
    <row r="79" spans="1:3">
      <c r="A79" t="s">
        <v>765</v>
      </c>
    </row>
    <row r="80" spans="1:3">
      <c r="A80" t="s">
        <v>766</v>
      </c>
    </row>
    <row r="81" spans="1:1">
      <c r="A81" t="s">
        <v>767</v>
      </c>
    </row>
    <row r="82" spans="1:1">
      <c r="A82" t="s">
        <v>768</v>
      </c>
    </row>
  </sheetData>
  <conditionalFormatting sqref="B1:B65 B138:B1048576 B78:B83">
    <cfRule type="expression" dxfId="79" priority="38">
      <formula>LEFT(B1,4)="!REF"</formula>
    </cfRule>
    <cfRule type="expression" dxfId="78" priority="39">
      <formula>LEFT(B1,3)="REF"</formula>
    </cfRule>
    <cfRule type="expression" dxfId="77" priority="40">
      <formula>LEFT(B1,1)="-"</formula>
    </cfRule>
  </conditionalFormatting>
  <conditionalFormatting sqref="B132:B137">
    <cfRule type="expression" dxfId="76" priority="35">
      <formula>LEFT(B132,4)="!REF"</formula>
    </cfRule>
    <cfRule type="expression" dxfId="75" priority="36">
      <formula>LEFT(B132,3)="REF"</formula>
    </cfRule>
    <cfRule type="expression" dxfId="74" priority="37">
      <formula>LEFT(B132,1)="-"</formula>
    </cfRule>
  </conditionalFormatting>
  <conditionalFormatting sqref="B126:B131">
    <cfRule type="expression" dxfId="73" priority="32">
      <formula>LEFT(B126,4)="!REF"</formula>
    </cfRule>
    <cfRule type="expression" dxfId="72" priority="33">
      <formula>LEFT(B126,3)="REF"</formula>
    </cfRule>
    <cfRule type="expression" dxfId="71" priority="34">
      <formula>LEFT(B126,1)="-"</formula>
    </cfRule>
  </conditionalFormatting>
  <conditionalFormatting sqref="B120:B125">
    <cfRule type="expression" dxfId="70" priority="29">
      <formula>LEFT(B120,4)="!REF"</formula>
    </cfRule>
    <cfRule type="expression" dxfId="69" priority="30">
      <formula>LEFT(B120,3)="REF"</formula>
    </cfRule>
    <cfRule type="expression" dxfId="68" priority="31">
      <formula>LEFT(B120,1)="-"</formula>
    </cfRule>
  </conditionalFormatting>
  <conditionalFormatting sqref="B114:B119">
    <cfRule type="expression" dxfId="67" priority="26">
      <formula>LEFT(B114,4)="!REF"</formula>
    </cfRule>
    <cfRule type="expression" dxfId="66" priority="27">
      <formula>LEFT(B114,3)="REF"</formula>
    </cfRule>
    <cfRule type="expression" dxfId="65" priority="28">
      <formula>LEFT(B114,1)="-"</formula>
    </cfRule>
  </conditionalFormatting>
  <conditionalFormatting sqref="B108:B113">
    <cfRule type="expression" dxfId="64" priority="23">
      <formula>LEFT(B108,4)="!REF"</formula>
    </cfRule>
    <cfRule type="expression" dxfId="63" priority="24">
      <formula>LEFT(B108,3)="REF"</formula>
    </cfRule>
    <cfRule type="expression" dxfId="62" priority="25">
      <formula>LEFT(B108,1)="-"</formula>
    </cfRule>
  </conditionalFormatting>
  <conditionalFormatting sqref="B102:B107">
    <cfRule type="expression" dxfId="61" priority="20">
      <formula>LEFT(B102,4)="!REF"</formula>
    </cfRule>
    <cfRule type="expression" dxfId="60" priority="21">
      <formula>LEFT(B102,3)="REF"</formula>
    </cfRule>
    <cfRule type="expression" dxfId="59" priority="22">
      <formula>LEFT(B102,1)="-"</formula>
    </cfRule>
  </conditionalFormatting>
  <conditionalFormatting sqref="B96:B101">
    <cfRule type="expression" dxfId="58" priority="17">
      <formula>LEFT(B96,4)="!REF"</formula>
    </cfRule>
    <cfRule type="expression" dxfId="57" priority="18">
      <formula>LEFT(B96,3)="REF"</formula>
    </cfRule>
    <cfRule type="expression" dxfId="56" priority="19">
      <formula>LEFT(B96,1)="-"</formula>
    </cfRule>
  </conditionalFormatting>
  <conditionalFormatting sqref="B90:B95">
    <cfRule type="expression" dxfId="55" priority="14">
      <formula>LEFT(B90,4)="!REF"</formula>
    </cfRule>
    <cfRule type="expression" dxfId="54" priority="15">
      <formula>LEFT(B90,3)="REF"</formula>
    </cfRule>
    <cfRule type="expression" dxfId="53" priority="16">
      <formula>LEFT(B90,1)="-"</formula>
    </cfRule>
  </conditionalFormatting>
  <conditionalFormatting sqref="B84:B89">
    <cfRule type="expression" dxfId="52" priority="11">
      <formula>LEFT(B84,4)="!REF"</formula>
    </cfRule>
    <cfRule type="expression" dxfId="51" priority="12">
      <formula>LEFT(B84,3)="REF"</formula>
    </cfRule>
    <cfRule type="expression" dxfId="50" priority="13">
      <formula>LEFT(B84,1)="-"</formula>
    </cfRule>
  </conditionalFormatting>
  <conditionalFormatting sqref="B72:B77">
    <cfRule type="expression" dxfId="49" priority="5">
      <formula>LEFT(B72,4)="!REF"</formula>
    </cfRule>
    <cfRule type="expression" dxfId="48" priority="6">
      <formula>LEFT(B72,3)="REF"</formula>
    </cfRule>
    <cfRule type="expression" dxfId="47" priority="7">
      <formula>LEFT(B72,1)="-"</formula>
    </cfRule>
  </conditionalFormatting>
  <conditionalFormatting sqref="B66:B71">
    <cfRule type="expression" dxfId="46" priority="2">
      <formula>LEFT(B66,4)="!REF"</formula>
    </cfRule>
    <cfRule type="expression" dxfId="45" priority="3">
      <formula>LEFT(B66,3)="REF"</formula>
    </cfRule>
    <cfRule type="expression" dxfId="44" priority="4">
      <formula>LEFT(B66,1)="-"</formula>
    </cfRule>
  </conditionalFormatting>
  <conditionalFormatting sqref="A1:A1048576">
    <cfRule type="beginsWith" dxfId="43" priority="1" operator="beginsWith" text="Err">
      <formula>LEFT(A1,LEN("Err"))="Err"</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4627B-D539-4F76-B824-1A1AD6B8B360}">
  <sheetPr codeName="Sheet12">
    <tabColor rgb="FF0070C0"/>
  </sheetPr>
  <dimension ref="A1:U50"/>
  <sheetViews>
    <sheetView zoomScaleNormal="100" workbookViewId="0">
      <pane ySplit="2" topLeftCell="A3" activePane="bottomLeft" state="frozen"/>
      <selection pane="bottomLeft" activeCell="B36" sqref="B36"/>
    </sheetView>
  </sheetViews>
  <sheetFormatPr defaultRowHeight="15"/>
  <cols>
    <col min="1" max="1" width="7.42578125" customWidth="1"/>
    <col min="2" max="2" width="15.42578125" customWidth="1"/>
    <col min="4" max="4" width="4.42578125" customWidth="1"/>
    <col min="5" max="5" width="5.140625" customWidth="1"/>
    <col min="6" max="6" width="3.42578125" customWidth="1"/>
    <col min="7" max="7" width="3.140625" bestFit="1" customWidth="1"/>
    <col min="8" max="8" width="7.7109375" customWidth="1"/>
    <col min="9" max="9" width="71.42578125" customWidth="1"/>
    <col min="10" max="10" width="48" customWidth="1"/>
    <col min="11" max="11" width="26.42578125" customWidth="1"/>
    <col min="12" max="12" width="11.5703125" customWidth="1"/>
    <col min="13" max="20" width="9.140625" hidden="1" customWidth="1"/>
    <col min="21" max="21" width="55.5703125" customWidth="1"/>
  </cols>
  <sheetData>
    <row r="1" spans="1:21" ht="29.25" customHeight="1">
      <c r="A1" s="32" t="s">
        <v>769</v>
      </c>
      <c r="I1" s="45"/>
      <c r="J1" s="46" t="s">
        <v>517</v>
      </c>
    </row>
    <row r="2" spans="1:21">
      <c r="A2" s="14" t="s">
        <v>0</v>
      </c>
      <c r="B2" s="11" t="s">
        <v>1</v>
      </c>
      <c r="C2" s="11" t="s">
        <v>2</v>
      </c>
      <c r="D2" s="12" t="s">
        <v>3</v>
      </c>
      <c r="E2" s="12" t="s">
        <v>4</v>
      </c>
      <c r="F2" s="12" t="s">
        <v>5</v>
      </c>
      <c r="G2" s="12" t="s">
        <v>6</v>
      </c>
      <c r="H2" s="12" t="s">
        <v>7</v>
      </c>
      <c r="I2" s="18" t="s">
        <v>8</v>
      </c>
      <c r="J2" s="17" t="s">
        <v>9</v>
      </c>
      <c r="K2" s="11" t="s">
        <v>10</v>
      </c>
      <c r="L2" s="12" t="s">
        <v>11</v>
      </c>
      <c r="M2" s="13" t="s">
        <v>12</v>
      </c>
      <c r="N2" s="13" t="s">
        <v>13</v>
      </c>
      <c r="O2" s="13" t="s">
        <v>14</v>
      </c>
      <c r="P2" s="13" t="s">
        <v>15</v>
      </c>
      <c r="Q2" s="13" t="s">
        <v>16</v>
      </c>
      <c r="R2" s="13" t="s">
        <v>17</v>
      </c>
      <c r="S2" s="13" t="s">
        <v>18</v>
      </c>
      <c r="T2" s="13" t="s">
        <v>19</v>
      </c>
      <c r="U2" s="13" t="s">
        <v>20</v>
      </c>
    </row>
    <row r="3" spans="1:21">
      <c r="A3" s="15" t="s">
        <v>21</v>
      </c>
      <c r="B3" t="s">
        <v>365</v>
      </c>
      <c r="D3" s="1"/>
      <c r="E3" s="1">
        <v>1</v>
      </c>
      <c r="F3" s="1">
        <v>1</v>
      </c>
      <c r="G3" s="1"/>
      <c r="H3" s="1"/>
      <c r="I3" s="19"/>
      <c r="J3" s="28"/>
      <c r="K3" t="s">
        <v>770</v>
      </c>
      <c r="L3" s="1">
        <v>0</v>
      </c>
      <c r="M3">
        <f>IF(RIGHT(XPtbl[[#This Row],[valid]],4)&lt;&gt;"list",0,IFERROR(MATCH(XPtbl[[#This Row],[Context]]&amp;"|"&amp;XPtbl[[#This Row],[Field]],Ltbl[ind],0),IFERROR(MATCH("ALL|"&amp;XPtbl[[#This Row],[Field]],Ltbl[ind],0),-1)))</f>
        <v>0</v>
      </c>
      <c r="N3" t="str" cm="1">
        <f t="array" ref="N3">IF(XPtbl[[#This Row],[listlu]]&lt;1,"",IF(INDEX(Ltbl[Generic],XPtbl[[#This Row],[listlu]])="","",INDEX(Ltbl[RetData],XPtbl[[#This Row],[listlu]])))</f>
        <v/>
      </c>
      <c r="O3">
        <f>IF(AND(XPtbl[[#This Row],[listlu]],ISERROR(FIND(",",XPtbl[[#This Row],[liMatch]])),XPtbl[[#This Row],[liMatch]]&lt;&gt;""),1,0)</f>
        <v>0</v>
      </c>
      <c r="P3">
        <f>IF(AND(XPtbl[[#This Row],[LT]]="Ref",ISNA(MATCH(XPtbl[[#This Row],[Field]],rTbl[Ref],0))),1,0)</f>
        <v>0</v>
      </c>
      <c r="Q3"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3">
        <f ca="1">FIND("~",SUBSTITUTE(XPtbl[[#This Row],[Hierarchy]],"|","~",1))</f>
        <v>9</v>
      </c>
      <c r="S3" t="e">
        <f ca="1">FIND("~",SUBSTITUTE(XPtbl[[#This Row],[Hierarchy]],"|","~",2))</f>
        <v>#VALUE!</v>
      </c>
      <c r="T3" cm="1">
        <f t="array" ref="T3">IF(XPtbl[[#This Row],[listlu]]=0,0,IF(INDEX(Ltbl[Context],XPtbl[[#This Row],[listlu]],1)="ALL",1,2))</f>
        <v>0</v>
      </c>
      <c r="U3" s="29"/>
    </row>
    <row r="4" spans="1:21">
      <c r="A4" s="15" t="s">
        <v>25</v>
      </c>
      <c r="B4" t="s">
        <v>366</v>
      </c>
      <c r="D4" s="1"/>
      <c r="E4" s="1"/>
      <c r="F4" s="1"/>
      <c r="G4" s="1"/>
      <c r="H4" s="1"/>
      <c r="I4" s="19" t="s">
        <v>367</v>
      </c>
      <c r="J4" s="28"/>
      <c r="K4" t="s">
        <v>365</v>
      </c>
      <c r="L4" s="1">
        <v>1</v>
      </c>
      <c r="M4">
        <f>IF(RIGHT(XPtbl[[#This Row],[valid]],4)&lt;&gt;"list",0,IFERROR(MATCH(XPtbl[[#This Row],[Context]]&amp;"|"&amp;XPtbl[[#This Row],[Field]],Ltbl[ind],0),IFERROR(MATCH("ALL|"&amp;XPtbl[[#This Row],[Field]],Ltbl[ind],0),-1)))</f>
        <v>0</v>
      </c>
      <c r="N4" t="str" cm="1">
        <f t="array" ref="N4">IF(XPtbl[[#This Row],[listlu]]&lt;1,"",IF(INDEX(Ltbl[Generic],XPtbl[[#This Row],[listlu]])="","",INDEX(Ltbl[RetData],XPtbl[[#This Row],[listlu]])))</f>
        <v/>
      </c>
      <c r="O4">
        <f>IF(AND(XPtbl[[#This Row],[listlu]],ISERROR(FIND(",",XPtbl[[#This Row],[liMatch]])),XPtbl[[#This Row],[liMatch]]&lt;&gt;""),1,0)</f>
        <v>0</v>
      </c>
      <c r="P4">
        <f>IF(AND(XPtbl[[#This Row],[LT]]="Ref",ISNA(MATCH(XPtbl[[#This Row],[Field]],rTbl[Ref],0))),1,0)</f>
        <v>0</v>
      </c>
      <c r="Q4"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4">
        <f ca="1">FIND("~",SUBSTITUTE(XPtbl[[#This Row],[Hierarchy]],"|","~",1))</f>
        <v>9</v>
      </c>
      <c r="S4" t="e">
        <f ca="1">FIND("~",SUBSTITUTE(XPtbl[[#This Row],[Hierarchy]],"|","~",2))</f>
        <v>#VALUE!</v>
      </c>
      <c r="T4" cm="1">
        <f t="array" ref="T4">IF(XPtbl[[#This Row],[listlu]]=0,0,IF(INDEX(Ltbl[Context],XPtbl[[#This Row],[listlu]],1)="ALL",1,2))</f>
        <v>0</v>
      </c>
      <c r="U4" s="29"/>
    </row>
    <row r="5" spans="1:21">
      <c r="A5" s="15" t="s">
        <v>28</v>
      </c>
      <c r="B5" t="s">
        <v>29</v>
      </c>
      <c r="C5" t="s">
        <v>30</v>
      </c>
      <c r="D5" s="1">
        <v>15</v>
      </c>
      <c r="E5" s="1">
        <v>1</v>
      </c>
      <c r="F5" s="1"/>
      <c r="G5" s="1"/>
      <c r="H5" s="1" t="s">
        <v>31</v>
      </c>
      <c r="I5" s="19" t="s">
        <v>32</v>
      </c>
      <c r="J5" s="28" t="s">
        <v>33</v>
      </c>
      <c r="K5" t="s">
        <v>365</v>
      </c>
      <c r="L5" s="1">
        <v>1</v>
      </c>
      <c r="M5">
        <f>IF(RIGHT(XPtbl[[#This Row],[valid]],4)&lt;&gt;"list",0,IFERROR(MATCH(XPtbl[[#This Row],[Context]]&amp;"|"&amp;XPtbl[[#This Row],[Field]],Ltbl[ind],0),IFERROR(MATCH("ALL|"&amp;XPtbl[[#This Row],[Field]],Ltbl[ind],0),-1)))</f>
        <v>1</v>
      </c>
      <c r="N5" t="str" cm="1">
        <f t="array" ref="N5">IF(XPtbl[[#This Row],[listlu]]&lt;1,"",IF(INDEX(Ltbl[Generic],XPtbl[[#This Row],[listlu]])="","",INDEX(Ltbl[RetData],XPtbl[[#This Row],[listlu]])))</f>
        <v>CUST</v>
      </c>
      <c r="O5">
        <f>IF(AND(XPtbl[[#This Row],[listlu]],ISERROR(FIND(",",XPtbl[[#This Row],[liMatch]])),XPtbl[[#This Row],[liMatch]]&lt;&gt;""),1,0)</f>
        <v>1</v>
      </c>
      <c r="P5">
        <f>IF(AND(XPtbl[[#This Row],[LT]]="Ref",ISNA(MATCH(XPtbl[[#This Row],[Field]],rTbl[Ref],0))),1,0)</f>
        <v>0</v>
      </c>
      <c r="Q5"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5">
        <f ca="1">FIND("~",SUBSTITUTE(XPtbl[[#This Row],[Hierarchy]],"|","~",1))</f>
        <v>9</v>
      </c>
      <c r="S5" t="e">
        <f ca="1">FIND("~",SUBSTITUTE(XPtbl[[#This Row],[Hierarchy]],"|","~",2))</f>
        <v>#VALUE!</v>
      </c>
      <c r="T5" cm="1">
        <f t="array" ref="T5">IF(XPtbl[[#This Row],[listlu]]=0,0,IF(INDEX(Ltbl[Context],XPtbl[[#This Row],[listlu]],1)="ALL",1,2))</f>
        <v>1</v>
      </c>
      <c r="U5" s="29"/>
    </row>
    <row r="6" spans="1:21">
      <c r="A6" s="15" t="s">
        <v>28</v>
      </c>
      <c r="B6" t="s">
        <v>37</v>
      </c>
      <c r="C6" t="s">
        <v>30</v>
      </c>
      <c r="D6" s="1">
        <v>15</v>
      </c>
      <c r="E6" s="1">
        <v>1</v>
      </c>
      <c r="F6" s="1"/>
      <c r="G6" s="1"/>
      <c r="H6" s="1" t="s">
        <v>31</v>
      </c>
      <c r="I6" s="19" t="s">
        <v>38</v>
      </c>
      <c r="J6" s="28" t="s">
        <v>39</v>
      </c>
      <c r="K6" t="s">
        <v>365</v>
      </c>
      <c r="L6" s="1">
        <v>1</v>
      </c>
      <c r="M6">
        <f>IF(RIGHT(XPtbl[[#This Row],[valid]],4)&lt;&gt;"list",0,IFERROR(MATCH(XPtbl[[#This Row],[Context]]&amp;"|"&amp;XPtbl[[#This Row],[Field]],Ltbl[ind],0),IFERROR(MATCH("ALL|"&amp;XPtbl[[#This Row],[Field]],Ltbl[ind],0),-1)))</f>
        <v>9</v>
      </c>
      <c r="N6" t="str" cm="1">
        <f t="array" ref="N6">IF(XPtbl[[#This Row],[listlu]]&lt;1,"",IF(INDEX(Ltbl[Generic],XPtbl[[#This Row],[listlu]])="","",INDEX(Ltbl[RetData],XPtbl[[#This Row],[listlu]])))</f>
        <v>ECOM,WS,BULK</v>
      </c>
      <c r="O6">
        <f>IF(AND(XPtbl[[#This Row],[listlu]],ISERROR(FIND(",",XPtbl[[#This Row],[liMatch]])),XPtbl[[#This Row],[liMatch]]&lt;&gt;""),1,0)</f>
        <v>0</v>
      </c>
      <c r="P6">
        <f>IF(AND(XPtbl[[#This Row],[LT]]="Ref",ISNA(MATCH(XPtbl[[#This Row],[Field]],rTbl[Ref],0))),1,0)</f>
        <v>0</v>
      </c>
      <c r="Q6"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6">
        <f ca="1">FIND("~",SUBSTITUTE(XPtbl[[#This Row],[Hierarchy]],"|","~",1))</f>
        <v>9</v>
      </c>
      <c r="S6" t="e">
        <f ca="1">FIND("~",SUBSTITUTE(XPtbl[[#This Row],[Hierarchy]],"|","~",2))</f>
        <v>#VALUE!</v>
      </c>
      <c r="T6" cm="1">
        <f t="array" ref="T6">IF(XPtbl[[#This Row],[listlu]]=0,0,IF(INDEX(Ltbl[Context],XPtbl[[#This Row],[listlu]],1)="ALL",1,2))</f>
        <v>1</v>
      </c>
      <c r="U6" s="29"/>
    </row>
    <row r="7" spans="1:21">
      <c r="A7" s="15" t="s">
        <v>28</v>
      </c>
      <c r="B7" t="s">
        <v>40</v>
      </c>
      <c r="C7" t="s">
        <v>30</v>
      </c>
      <c r="D7" s="1">
        <v>250</v>
      </c>
      <c r="E7" s="1">
        <v>0</v>
      </c>
      <c r="F7" s="1"/>
      <c r="G7" s="1"/>
      <c r="H7" s="1"/>
      <c r="I7" s="19" t="s">
        <v>41</v>
      </c>
      <c r="J7" s="28" t="s">
        <v>42</v>
      </c>
      <c r="K7" t="s">
        <v>365</v>
      </c>
      <c r="L7" s="1">
        <v>1</v>
      </c>
      <c r="M7">
        <f>IF(RIGHT(XPtbl[[#This Row],[valid]],4)&lt;&gt;"list",0,IFERROR(MATCH(XPtbl[[#This Row],[Context]]&amp;"|"&amp;XPtbl[[#This Row],[Field]],Ltbl[ind],0),IFERROR(MATCH("ALL|"&amp;XPtbl[[#This Row],[Field]],Ltbl[ind],0),-1)))</f>
        <v>0</v>
      </c>
      <c r="N7" t="str" cm="1">
        <f t="array" ref="N7">IF(XPtbl[[#This Row],[listlu]]&lt;1,"",IF(INDEX(Ltbl[Generic],XPtbl[[#This Row],[listlu]])="","",INDEX(Ltbl[RetData],XPtbl[[#This Row],[listlu]])))</f>
        <v/>
      </c>
      <c r="O7">
        <f>IF(AND(XPtbl[[#This Row],[listlu]],ISERROR(FIND(",",XPtbl[[#This Row],[liMatch]])),XPtbl[[#This Row],[liMatch]]&lt;&gt;""),1,0)</f>
        <v>0</v>
      </c>
      <c r="P7">
        <f>IF(AND(XPtbl[[#This Row],[LT]]="Ref",ISNA(MATCH(XPtbl[[#This Row],[Field]],rTbl[Ref],0))),1,0)</f>
        <v>0</v>
      </c>
      <c r="Q7"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7">
        <f ca="1">FIND("~",SUBSTITUTE(XPtbl[[#This Row],[Hierarchy]],"|","~",1))</f>
        <v>9</v>
      </c>
      <c r="S7" t="e">
        <f ca="1">FIND("~",SUBSTITUTE(XPtbl[[#This Row],[Hierarchy]],"|","~",2))</f>
        <v>#VALUE!</v>
      </c>
      <c r="T7" cm="1">
        <f t="array" ref="T7">IF(XPtbl[[#This Row],[listlu]]=0,0,IF(INDEX(Ltbl[Context],XPtbl[[#This Row],[listlu]],1)="ALL",1,2))</f>
        <v>0</v>
      </c>
      <c r="U7" s="29"/>
    </row>
    <row r="8" spans="1:21">
      <c r="A8" s="15" t="s">
        <v>28</v>
      </c>
      <c r="B8" t="s">
        <v>43</v>
      </c>
      <c r="C8" t="s">
        <v>30</v>
      </c>
      <c r="D8" s="1">
        <v>50</v>
      </c>
      <c r="E8" s="1">
        <v>0</v>
      </c>
      <c r="F8" s="1"/>
      <c r="G8" s="1"/>
      <c r="H8" s="1"/>
      <c r="I8" s="19" t="s">
        <v>368</v>
      </c>
      <c r="J8" s="28" t="s">
        <v>369</v>
      </c>
      <c r="K8" t="s">
        <v>365</v>
      </c>
      <c r="L8" s="1">
        <v>1</v>
      </c>
      <c r="M8">
        <f>IF(RIGHT(XPtbl[[#This Row],[valid]],4)&lt;&gt;"list",0,IFERROR(MATCH(XPtbl[[#This Row],[Context]]&amp;"|"&amp;XPtbl[[#This Row],[Field]],Ltbl[ind],0),IFERROR(MATCH("ALL|"&amp;XPtbl[[#This Row],[Field]],Ltbl[ind],0),-1)))</f>
        <v>0</v>
      </c>
      <c r="N8" t="str" cm="1">
        <f t="array" ref="N8">IF(XPtbl[[#This Row],[listlu]]&lt;1,"",IF(INDEX(Ltbl[Generic],XPtbl[[#This Row],[listlu]])="","",INDEX(Ltbl[RetData],XPtbl[[#This Row],[listlu]])))</f>
        <v/>
      </c>
      <c r="O8">
        <f>IF(AND(XPtbl[[#This Row],[listlu]],ISERROR(FIND(",",XPtbl[[#This Row],[liMatch]])),XPtbl[[#This Row],[liMatch]]&lt;&gt;""),1,0)</f>
        <v>0</v>
      </c>
      <c r="P8">
        <f>IF(AND(XPtbl[[#This Row],[LT]]="Ref",ISNA(MATCH(XPtbl[[#This Row],[Field]],rTbl[Ref],0))),1,0)</f>
        <v>0</v>
      </c>
      <c r="Q8"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8">
        <f ca="1">FIND("~",SUBSTITUTE(XPtbl[[#This Row],[Hierarchy]],"|","~",1))</f>
        <v>9</v>
      </c>
      <c r="S8" t="e">
        <f ca="1">FIND("~",SUBSTITUTE(XPtbl[[#This Row],[Hierarchy]],"|","~",2))</f>
        <v>#VALUE!</v>
      </c>
      <c r="T8" cm="1">
        <f t="array" ref="T8">IF(XPtbl[[#This Row],[listlu]]=0,0,IF(INDEX(Ltbl[Context],XPtbl[[#This Row],[listlu]],1)="ALL",1,2))</f>
        <v>0</v>
      </c>
      <c r="U8" s="29"/>
    </row>
    <row r="9" spans="1:21">
      <c r="A9" s="15" t="s">
        <v>28</v>
      </c>
      <c r="B9" t="s">
        <v>46</v>
      </c>
      <c r="C9" t="s">
        <v>30</v>
      </c>
      <c r="D9" s="1">
        <v>20</v>
      </c>
      <c r="E9" s="1">
        <v>0</v>
      </c>
      <c r="F9" s="1"/>
      <c r="G9" s="1"/>
      <c r="H9" s="1" t="s">
        <v>31</v>
      </c>
      <c r="I9" s="19" t="s">
        <v>47</v>
      </c>
      <c r="J9" s="28" t="s">
        <v>48</v>
      </c>
      <c r="K9" t="s">
        <v>365</v>
      </c>
      <c r="L9" s="1">
        <v>1</v>
      </c>
      <c r="M9">
        <f>IF(RIGHT(XPtbl[[#This Row],[valid]],4)&lt;&gt;"list",0,IFERROR(MATCH(XPtbl[[#This Row],[Context]]&amp;"|"&amp;XPtbl[[#This Row],[Field]],Ltbl[ind],0),IFERROR(MATCH("ALL|"&amp;XPtbl[[#This Row],[Field]],Ltbl[ind],0),-1)))</f>
        <v>4</v>
      </c>
      <c r="N9" t="str" cm="1">
        <f t="array" ref="N9">IF(XPtbl[[#This Row],[listlu]]&lt;1,"",IF(INDEX(Ltbl[Generic],XPtbl[[#This Row],[listlu]])="","",INDEX(Ltbl[RetData],XPtbl[[#This Row],[listlu]])))</f>
        <v>ShopEU,ShopUK,NetSuite</v>
      </c>
      <c r="O9">
        <f>IF(AND(XPtbl[[#This Row],[listlu]],ISERROR(FIND(",",XPtbl[[#This Row],[liMatch]])),XPtbl[[#This Row],[liMatch]]&lt;&gt;""),1,0)</f>
        <v>0</v>
      </c>
      <c r="P9">
        <f>IF(AND(XPtbl[[#This Row],[LT]]="Ref",ISNA(MATCH(XPtbl[[#This Row],[Field]],rTbl[Ref],0))),1,0)</f>
        <v>0</v>
      </c>
      <c r="Q9"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9">
        <f ca="1">FIND("~",SUBSTITUTE(XPtbl[[#This Row],[Hierarchy]],"|","~",1))</f>
        <v>9</v>
      </c>
      <c r="S9" t="e">
        <f ca="1">FIND("~",SUBSTITUTE(XPtbl[[#This Row],[Hierarchy]],"|","~",2))</f>
        <v>#VALUE!</v>
      </c>
      <c r="T9" cm="1">
        <f t="array" ref="T9">IF(XPtbl[[#This Row],[listlu]]=0,0,IF(INDEX(Ltbl[Context],XPtbl[[#This Row],[listlu]],1)="ALL",1,2))</f>
        <v>1</v>
      </c>
      <c r="U9" s="29"/>
    </row>
    <row r="10" spans="1:21">
      <c r="A10" s="15" t="s">
        <v>28</v>
      </c>
      <c r="B10" t="s">
        <v>50</v>
      </c>
      <c r="C10" t="s">
        <v>30</v>
      </c>
      <c r="D10" s="1">
        <v>20</v>
      </c>
      <c r="E10" s="1">
        <v>0</v>
      </c>
      <c r="F10" s="1"/>
      <c r="G10" s="1"/>
      <c r="H10" s="1" t="s">
        <v>31</v>
      </c>
      <c r="I10" s="19" t="s">
        <v>51</v>
      </c>
      <c r="J10" s="28" t="s">
        <v>52</v>
      </c>
      <c r="K10" t="s">
        <v>365</v>
      </c>
      <c r="L10" s="1">
        <v>1</v>
      </c>
      <c r="M10">
        <f>IF(RIGHT(XPtbl[[#This Row],[valid]],4)&lt;&gt;"list",0,IFERROR(MATCH(XPtbl[[#This Row],[Context]]&amp;"|"&amp;XPtbl[[#This Row],[Field]],Ltbl[ind],0),IFERROR(MATCH("ALL|"&amp;XPtbl[[#This Row],[Field]],Ltbl[ind],0),-1)))</f>
        <v>3</v>
      </c>
      <c r="N10" t="str" cm="1">
        <f t="array" ref="N10">IF(XPtbl[[#This Row],[listlu]]&lt;1,"",IF(INDEX(Ltbl[Generic],XPtbl[[#This Row],[listlu]])="","",INDEX(Ltbl[RetData],XPtbl[[#This Row],[listlu]])))</f>
        <v>MyFirstBrand,OtherBrand</v>
      </c>
      <c r="O10">
        <f>IF(AND(XPtbl[[#This Row],[listlu]],ISERROR(FIND(",",XPtbl[[#This Row],[liMatch]])),XPtbl[[#This Row],[liMatch]]&lt;&gt;""),1,0)</f>
        <v>0</v>
      </c>
      <c r="P10">
        <f>IF(AND(XPtbl[[#This Row],[LT]]="Ref",ISNA(MATCH(XPtbl[[#This Row],[Field]],rTbl[Ref],0))),1,0)</f>
        <v>0</v>
      </c>
      <c r="Q10"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10">
        <f ca="1">FIND("~",SUBSTITUTE(XPtbl[[#This Row],[Hierarchy]],"|","~",1))</f>
        <v>9</v>
      </c>
      <c r="S10" t="e">
        <f ca="1">FIND("~",SUBSTITUTE(XPtbl[[#This Row],[Hierarchy]],"|","~",2))</f>
        <v>#VALUE!</v>
      </c>
      <c r="T10" cm="1">
        <f t="array" ref="T10">IF(XPtbl[[#This Row],[listlu]]=0,0,IF(INDEX(Ltbl[Context],XPtbl[[#This Row],[listlu]],1)="ALL",1,2))</f>
        <v>1</v>
      </c>
      <c r="U10" s="29"/>
    </row>
    <row r="11" spans="1:21">
      <c r="A11" s="15" t="s">
        <v>28</v>
      </c>
      <c r="B11" t="s">
        <v>60</v>
      </c>
      <c r="C11" t="s">
        <v>30</v>
      </c>
      <c r="D11" s="1">
        <v>5</v>
      </c>
      <c r="E11" s="1">
        <v>1</v>
      </c>
      <c r="F11" s="1"/>
      <c r="G11" s="1"/>
      <c r="H11" s="1" t="s">
        <v>56</v>
      </c>
      <c r="I11" s="19" t="s">
        <v>370</v>
      </c>
      <c r="J11" s="28" t="s">
        <v>62</v>
      </c>
      <c r="K11" t="s">
        <v>365</v>
      </c>
      <c r="L11" s="1">
        <v>1</v>
      </c>
      <c r="M11">
        <f>IF(RIGHT(XPtbl[[#This Row],[valid]],4)&lt;&gt;"list",0,IFERROR(MATCH(XPtbl[[#This Row],[Context]]&amp;"|"&amp;XPtbl[[#This Row],[Field]],Ltbl[ind],0),IFERROR(MATCH("ALL|"&amp;XPtbl[[#This Row],[Field]],Ltbl[ind],0),-1)))</f>
        <v>8</v>
      </c>
      <c r="N11" t="str" cm="1">
        <f t="array" ref="N11">IF(XPtbl[[#This Row],[listlu]]&lt;1,"",IF(INDEX(Ltbl[Generic],XPtbl[[#This Row],[listlu]])="","",INDEX(Ltbl[RetData],XPtbl[[#This Row],[listlu]])))</f>
        <v>NEW,UPD</v>
      </c>
      <c r="O11">
        <f>IF(AND(XPtbl[[#This Row],[listlu]],ISERROR(FIND(",",XPtbl[[#This Row],[liMatch]])),XPtbl[[#This Row],[liMatch]]&lt;&gt;""),1,0)</f>
        <v>0</v>
      </c>
      <c r="P11">
        <f>IF(AND(XPtbl[[#This Row],[LT]]="Ref",ISNA(MATCH(XPtbl[[#This Row],[Field]],rTbl[Ref],0))),1,0)</f>
        <v>0</v>
      </c>
      <c r="Q11"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11">
        <f ca="1">FIND("~",SUBSTITUTE(XPtbl[[#This Row],[Hierarchy]],"|","~",1))</f>
        <v>9</v>
      </c>
      <c r="S11" t="e">
        <f ca="1">FIND("~",SUBSTITUTE(XPtbl[[#This Row],[Hierarchy]],"|","~",2))</f>
        <v>#VALUE!</v>
      </c>
      <c r="T11" cm="1">
        <f t="array" ref="T11">IF(XPtbl[[#This Row],[listlu]]=0,0,IF(INDEX(Ltbl[Context],XPtbl[[#This Row],[listlu]],1)="ALL",1,2))</f>
        <v>1</v>
      </c>
      <c r="U11" s="29"/>
    </row>
    <row r="12" spans="1:21">
      <c r="A12" s="15" t="s">
        <v>28</v>
      </c>
      <c r="B12" t="s">
        <v>152</v>
      </c>
      <c r="C12" t="s">
        <v>30</v>
      </c>
      <c r="D12" s="1">
        <v>30</v>
      </c>
      <c r="E12" s="1">
        <v>1</v>
      </c>
      <c r="F12" s="1"/>
      <c r="G12" s="1"/>
      <c r="H12" s="1"/>
      <c r="I12" s="19" t="s">
        <v>371</v>
      </c>
      <c r="J12" s="28" t="s">
        <v>369</v>
      </c>
      <c r="K12" t="s">
        <v>365</v>
      </c>
      <c r="L12" s="1">
        <v>1</v>
      </c>
      <c r="M12">
        <f>IF(RIGHT(XPtbl[[#This Row],[valid]],4)&lt;&gt;"list",0,IFERROR(MATCH(XPtbl[[#This Row],[Context]]&amp;"|"&amp;XPtbl[[#This Row],[Field]],Ltbl[ind],0),IFERROR(MATCH("ALL|"&amp;XPtbl[[#This Row],[Field]],Ltbl[ind],0),-1)))</f>
        <v>0</v>
      </c>
      <c r="N12" t="str" cm="1">
        <f t="array" ref="N12">IF(XPtbl[[#This Row],[listlu]]&lt;1,"",IF(INDEX(Ltbl[Generic],XPtbl[[#This Row],[listlu]])="","",INDEX(Ltbl[RetData],XPtbl[[#This Row],[listlu]])))</f>
        <v/>
      </c>
      <c r="O12">
        <f>IF(AND(XPtbl[[#This Row],[listlu]],ISERROR(FIND(",",XPtbl[[#This Row],[liMatch]])),XPtbl[[#This Row],[liMatch]]&lt;&gt;""),1,0)</f>
        <v>0</v>
      </c>
      <c r="P12">
        <f>IF(AND(XPtbl[[#This Row],[LT]]="Ref",ISNA(MATCH(XPtbl[[#This Row],[Field]],rTbl[Ref],0))),1,0)</f>
        <v>0</v>
      </c>
      <c r="Q12"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12">
        <f ca="1">FIND("~",SUBSTITUTE(XPtbl[[#This Row],[Hierarchy]],"|","~",1))</f>
        <v>9</v>
      </c>
      <c r="S12" t="e">
        <f ca="1">FIND("~",SUBSTITUTE(XPtbl[[#This Row],[Hierarchy]],"|","~",2))</f>
        <v>#VALUE!</v>
      </c>
      <c r="T12" cm="1">
        <f t="array" ref="T12">IF(XPtbl[[#This Row],[listlu]]=0,0,IF(INDEX(Ltbl[Context],XPtbl[[#This Row],[listlu]],1)="ALL",1,2))</f>
        <v>0</v>
      </c>
      <c r="U12" s="29"/>
    </row>
    <row r="13" spans="1:21">
      <c r="A13" s="15" t="s">
        <v>28</v>
      </c>
      <c r="B13" t="s">
        <v>372</v>
      </c>
      <c r="C13" t="s">
        <v>30</v>
      </c>
      <c r="D13" s="1">
        <v>5</v>
      </c>
      <c r="E13" s="1">
        <v>1</v>
      </c>
      <c r="F13" s="1"/>
      <c r="G13" s="1"/>
      <c r="H13" s="1" t="s">
        <v>56</v>
      </c>
      <c r="I13" s="19" t="s">
        <v>373</v>
      </c>
      <c r="J13" s="28" t="s">
        <v>374</v>
      </c>
      <c r="K13" t="s">
        <v>365</v>
      </c>
      <c r="L13" s="1">
        <v>1</v>
      </c>
      <c r="M13">
        <f>IF(RIGHT(XPtbl[[#This Row],[valid]],4)&lt;&gt;"list",0,IFERROR(MATCH(XPtbl[[#This Row],[Context]]&amp;"|"&amp;XPtbl[[#This Row],[Field]],Ltbl[ind],0),IFERROR(MATCH("ALL|"&amp;XPtbl[[#This Row],[Field]],Ltbl[ind],0),-1)))</f>
        <v>27</v>
      </c>
      <c r="N13" t="str" cm="1">
        <f t="array" ref="N13">IF(XPtbl[[#This Row],[listlu]]&lt;1,"",IF(INDEX(Ltbl[Generic],XPtbl[[#This Row],[listlu]])="","",INDEX(Ltbl[RetData],XPtbl[[#This Row],[listlu]])))</f>
        <v>STOCK,KIT,CONS,VIRT</v>
      </c>
      <c r="O13">
        <f>IF(AND(XPtbl[[#This Row],[listlu]],ISERROR(FIND(",",XPtbl[[#This Row],[liMatch]])),XPtbl[[#This Row],[liMatch]]&lt;&gt;""),1,0)</f>
        <v>0</v>
      </c>
      <c r="P13">
        <f>IF(AND(XPtbl[[#This Row],[LT]]="Ref",ISNA(MATCH(XPtbl[[#This Row],[Field]],rTbl[Ref],0))),1,0)</f>
        <v>0</v>
      </c>
      <c r="Q13"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13">
        <f ca="1">FIND("~",SUBSTITUTE(XPtbl[[#This Row],[Hierarchy]],"|","~",1))</f>
        <v>9</v>
      </c>
      <c r="S13" t="e">
        <f ca="1">FIND("~",SUBSTITUTE(XPtbl[[#This Row],[Hierarchy]],"|","~",2))</f>
        <v>#VALUE!</v>
      </c>
      <c r="T13" cm="1">
        <f t="array" ref="T13">IF(XPtbl[[#This Row],[listlu]]=0,0,IF(INDEX(Ltbl[Context],XPtbl[[#This Row],[listlu]],1)="ALL",1,2))</f>
        <v>2</v>
      </c>
      <c r="U13" s="29"/>
    </row>
    <row r="14" spans="1:21">
      <c r="A14" s="15" t="s">
        <v>28</v>
      </c>
      <c r="B14" t="s">
        <v>331</v>
      </c>
      <c r="C14" t="s">
        <v>30</v>
      </c>
      <c r="D14" s="1">
        <v>5</v>
      </c>
      <c r="E14" s="1">
        <v>1</v>
      </c>
      <c r="F14" s="1"/>
      <c r="G14" s="1"/>
      <c r="H14" s="1" t="s">
        <v>56</v>
      </c>
      <c r="I14" s="19" t="s">
        <v>375</v>
      </c>
      <c r="J14" s="28" t="s">
        <v>376</v>
      </c>
      <c r="K14" t="s">
        <v>365</v>
      </c>
      <c r="L14" s="1">
        <v>1</v>
      </c>
      <c r="M14">
        <f>IF(RIGHT(XPtbl[[#This Row],[valid]],4)&lt;&gt;"list",0,IFERROR(MATCH(XPtbl[[#This Row],[Context]]&amp;"|"&amp;XPtbl[[#This Row],[Field]],Ltbl[ind],0),IFERROR(MATCH("ALL|"&amp;XPtbl[[#This Row],[Field]],Ltbl[ind],0),-1)))</f>
        <v>26</v>
      </c>
      <c r="N14" t="str" cm="1">
        <f t="array" ref="N14">IF(XPtbl[[#This Row],[listlu]]&lt;1,"",IF(INDEX(Ltbl[Generic],XPtbl[[#This Row],[listlu]])="","",INDEX(Ltbl[RetData],XPtbl[[#This Row],[listlu]])))</f>
        <v>ACTI,SUSP,DISC</v>
      </c>
      <c r="O14">
        <f>IF(AND(XPtbl[[#This Row],[listlu]],ISERROR(FIND(",",XPtbl[[#This Row],[liMatch]])),XPtbl[[#This Row],[liMatch]]&lt;&gt;""),1,0)</f>
        <v>0</v>
      </c>
      <c r="P14">
        <f>IF(AND(XPtbl[[#This Row],[LT]]="Ref",ISNA(MATCH(XPtbl[[#This Row],[Field]],rTbl[Ref],0))),1,0)</f>
        <v>0</v>
      </c>
      <c r="Q14"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14">
        <f ca="1">FIND("~",SUBSTITUTE(XPtbl[[#This Row],[Hierarchy]],"|","~",1))</f>
        <v>9</v>
      </c>
      <c r="S14" t="e">
        <f ca="1">FIND("~",SUBSTITUTE(XPtbl[[#This Row],[Hierarchy]],"|","~",2))</f>
        <v>#VALUE!</v>
      </c>
      <c r="T14" cm="1">
        <f t="array" ref="T14">IF(XPtbl[[#This Row],[listlu]]=0,0,IF(INDEX(Ltbl[Context],XPtbl[[#This Row],[listlu]],1)="ALL",1,2))</f>
        <v>2</v>
      </c>
      <c r="U14" s="29"/>
    </row>
    <row r="15" spans="1:21">
      <c r="A15" s="15" t="s">
        <v>28</v>
      </c>
      <c r="B15" t="s">
        <v>377</v>
      </c>
      <c r="C15" t="s">
        <v>94</v>
      </c>
      <c r="D15" s="1"/>
      <c r="E15" s="1">
        <v>1</v>
      </c>
      <c r="F15" s="1"/>
      <c r="G15" s="1"/>
      <c r="H15" s="1"/>
      <c r="I15" s="19" t="s">
        <v>378</v>
      </c>
      <c r="J15" s="28" t="s">
        <v>379</v>
      </c>
      <c r="K15" t="s">
        <v>365</v>
      </c>
      <c r="L15" s="1">
        <v>1</v>
      </c>
      <c r="M15">
        <f>IF(RIGHT(XPtbl[[#This Row],[valid]],4)&lt;&gt;"list",0,IFERROR(MATCH(XPtbl[[#This Row],[Context]]&amp;"|"&amp;XPtbl[[#This Row],[Field]],Ltbl[ind],0),IFERROR(MATCH("ALL|"&amp;XPtbl[[#This Row],[Field]],Ltbl[ind],0),-1)))</f>
        <v>0</v>
      </c>
      <c r="N15" t="str" cm="1">
        <f t="array" ref="N15">IF(XPtbl[[#This Row],[listlu]]&lt;1,"",IF(INDEX(Ltbl[Generic],XPtbl[[#This Row],[listlu]])="","",INDEX(Ltbl[RetData],XPtbl[[#This Row],[listlu]])))</f>
        <v/>
      </c>
      <c r="O15">
        <f>IF(AND(XPtbl[[#This Row],[listlu]],ISERROR(FIND(",",XPtbl[[#This Row],[liMatch]])),XPtbl[[#This Row],[liMatch]]&lt;&gt;""),1,0)</f>
        <v>0</v>
      </c>
      <c r="P15">
        <f>IF(AND(XPtbl[[#This Row],[LT]]="Ref",ISNA(MATCH(XPtbl[[#This Row],[Field]],rTbl[Ref],0))),1,0)</f>
        <v>0</v>
      </c>
      <c r="Q15"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15">
        <f ca="1">FIND("~",SUBSTITUTE(XPtbl[[#This Row],[Hierarchy]],"|","~",1))</f>
        <v>9</v>
      </c>
      <c r="S15" t="e">
        <f ca="1">FIND("~",SUBSTITUTE(XPtbl[[#This Row],[Hierarchy]],"|","~",2))</f>
        <v>#VALUE!</v>
      </c>
      <c r="T15" cm="1">
        <f t="array" ref="T15">IF(XPtbl[[#This Row],[listlu]]=0,0,IF(INDEX(Ltbl[Context],XPtbl[[#This Row],[listlu]],1)="ALL",1,2))</f>
        <v>0</v>
      </c>
      <c r="U15" s="29"/>
    </row>
    <row r="16" spans="1:21">
      <c r="A16" s="15" t="s">
        <v>21</v>
      </c>
      <c r="B16" t="s">
        <v>504</v>
      </c>
      <c r="D16" s="1"/>
      <c r="E16" s="1">
        <v>0</v>
      </c>
      <c r="F16" s="1" t="s">
        <v>23</v>
      </c>
      <c r="G16" s="1"/>
      <c r="H16" s="1"/>
      <c r="I16" s="19" t="s">
        <v>381</v>
      </c>
      <c r="J16" s="28"/>
      <c r="K16" t="s">
        <v>365</v>
      </c>
      <c r="L16" s="1">
        <v>0</v>
      </c>
      <c r="M16">
        <f>IF(RIGHT(XPtbl[[#This Row],[valid]],4)&lt;&gt;"list",0,IFERROR(MATCH(XPtbl[[#This Row],[Context]]&amp;"|"&amp;XPtbl[[#This Row],[Field]],Ltbl[ind],0),IFERROR(MATCH("ALL|"&amp;XPtbl[[#This Row],[Field]],Ltbl[ind],0),-1)))</f>
        <v>0</v>
      </c>
      <c r="N16" t="str" cm="1">
        <f t="array" ref="N16">IF(XPtbl[[#This Row],[listlu]]&lt;1,"",IF(INDEX(Ltbl[Generic],XPtbl[[#This Row],[listlu]])="","",INDEX(Ltbl[RetData],XPtbl[[#This Row],[listlu]])))</f>
        <v/>
      </c>
      <c r="O16">
        <f>IF(AND(XPtbl[[#This Row],[listlu]],ISERROR(FIND(",",XPtbl[[#This Row],[liMatch]])),XPtbl[[#This Row],[liMatch]]&lt;&gt;""),1,0)</f>
        <v>0</v>
      </c>
      <c r="P16">
        <f>IF(AND(XPtbl[[#This Row],[LT]]="Ref",ISNA(MATCH(XPtbl[[#This Row],[Field]],rTbl[Ref],0))),1,0)</f>
        <v>0</v>
      </c>
      <c r="Q16" t="str">
        <f ca="1">IF(ROW()=3,IF(XPtbl[[#This Row],[LT]]="H",XPtbl[[#This Row],[Field]]&amp;"|","|"),IF(XPtbl[[#This Row],[LT]]="H",XPtbl[[#This Row],[Field]]&amp;"|"&amp;OFFSET(XPtbl[[#This Row],[Hierarchy]],-1,0),IF(XPtbl[[#This Row],[LT]]&lt;&gt;"!H",OFFSET(XPtbl[[#This Row],[Hierarchy]],-1,0),RIGHT(OFFSET(XPtbl[[#This Row],[Hierarchy]],-1,0),LEN(OFFSET(XPtbl[[#This Row],[Hierarchy]],-1,0))-LEN(XPtbl[[#This Row],[Field]])-1))))</f>
        <v>Aliases|Products|</v>
      </c>
      <c r="R16">
        <f ca="1">FIND("~",SUBSTITUTE(XPtbl[[#This Row],[Hierarchy]],"|","~",1))</f>
        <v>8</v>
      </c>
      <c r="S16">
        <f ca="1">FIND("~",SUBSTITUTE(XPtbl[[#This Row],[Hierarchy]],"|","~",2))</f>
        <v>17</v>
      </c>
      <c r="T16" cm="1">
        <f t="array" ref="T16">IF(XPtbl[[#This Row],[listlu]]=0,0,IF(INDEX(Ltbl[Context],XPtbl[[#This Row],[listlu]],1)="ALL",1,2))</f>
        <v>0</v>
      </c>
      <c r="U16" s="29"/>
    </row>
    <row r="17" spans="1:21">
      <c r="A17" s="15" t="s">
        <v>28</v>
      </c>
      <c r="B17" t="s">
        <v>505</v>
      </c>
      <c r="C17" t="s">
        <v>30</v>
      </c>
      <c r="D17" s="1">
        <v>5</v>
      </c>
      <c r="E17" s="1">
        <v>1</v>
      </c>
      <c r="F17" s="1"/>
      <c r="G17" s="1"/>
      <c r="H17" s="1" t="s">
        <v>31</v>
      </c>
      <c r="I17" s="19" t="s">
        <v>506</v>
      </c>
      <c r="J17" s="28" t="s">
        <v>507</v>
      </c>
      <c r="K17" t="s">
        <v>771</v>
      </c>
      <c r="L17" s="1">
        <v>1</v>
      </c>
      <c r="M17">
        <f>IF(RIGHT(XPtbl[[#This Row],[valid]],4)&lt;&gt;"list",0,IFERROR(MATCH(XPtbl[[#This Row],[Context]]&amp;"|"&amp;XPtbl[[#This Row],[Field]],Ltbl[ind],0),IFERROR(MATCH("ALL|"&amp;XPtbl[[#This Row],[Field]],Ltbl[ind],0),-1)))</f>
        <v>-1</v>
      </c>
      <c r="N17" t="str" cm="1">
        <f t="array" ref="N17">IF(XPtbl[[#This Row],[listlu]]&lt;1,"",IF(INDEX(Ltbl[Generic],XPtbl[[#This Row],[listlu]])="","",INDEX(Ltbl[RetData],XPtbl[[#This Row],[listlu]])))</f>
        <v/>
      </c>
      <c r="O17">
        <f>IF(AND(XPtbl[[#This Row],[listlu]],ISERROR(FIND(",",XPtbl[[#This Row],[liMatch]])),XPtbl[[#This Row],[liMatch]]&lt;&gt;""),1,0)</f>
        <v>0</v>
      </c>
      <c r="P17">
        <f>IF(AND(XPtbl[[#This Row],[LT]]="Ref",ISNA(MATCH(XPtbl[[#This Row],[Field]],rTbl[Ref],0))),1,0)</f>
        <v>0</v>
      </c>
      <c r="Q17" t="str">
        <f ca="1">IF(ROW()=3,IF(XPtbl[[#This Row],[LT]]="H",XPtbl[[#This Row],[Field]]&amp;"|","|"),IF(XPtbl[[#This Row],[LT]]="H",XPtbl[[#This Row],[Field]]&amp;"|"&amp;OFFSET(XPtbl[[#This Row],[Hierarchy]],-1,0),IF(XPtbl[[#This Row],[LT]]&lt;&gt;"!H",OFFSET(XPtbl[[#This Row],[Hierarchy]],-1,0),RIGHT(OFFSET(XPtbl[[#This Row],[Hierarchy]],-1,0),LEN(OFFSET(XPtbl[[#This Row],[Hierarchy]],-1,0))-LEN(XPtbl[[#This Row],[Field]])-1))))</f>
        <v>Aliases|Products|</v>
      </c>
      <c r="R17">
        <f ca="1">FIND("~",SUBSTITUTE(XPtbl[[#This Row],[Hierarchy]],"|","~",1))</f>
        <v>8</v>
      </c>
      <c r="S17">
        <f ca="1">FIND("~",SUBSTITUTE(XPtbl[[#This Row],[Hierarchy]],"|","~",2))</f>
        <v>17</v>
      </c>
      <c r="T17" t="e" cm="1">
        <f t="array" ref="T17">IF(XPtbl[[#This Row],[listlu]]=0,0,IF(INDEX(Ltbl[Context],XPtbl[[#This Row],[listlu]],1)="ALL",1,2))</f>
        <v>#VALUE!</v>
      </c>
      <c r="U17" s="29"/>
    </row>
    <row r="18" spans="1:21">
      <c r="A18" s="15" t="s">
        <v>28</v>
      </c>
      <c r="B18" t="s">
        <v>508</v>
      </c>
      <c r="C18" t="s">
        <v>30</v>
      </c>
      <c r="D18" s="1">
        <v>50</v>
      </c>
      <c r="E18" s="1">
        <v>1</v>
      </c>
      <c r="F18" s="1"/>
      <c r="G18" s="1"/>
      <c r="H18" s="1"/>
      <c r="I18" s="19" t="s">
        <v>509</v>
      </c>
      <c r="J18" s="28" t="s">
        <v>510</v>
      </c>
      <c r="K18" t="s">
        <v>771</v>
      </c>
      <c r="L18" s="1">
        <v>1</v>
      </c>
      <c r="M18">
        <f>IF(RIGHT(XPtbl[[#This Row],[valid]],4)&lt;&gt;"list",0,IFERROR(MATCH(XPtbl[[#This Row],[Context]]&amp;"|"&amp;XPtbl[[#This Row],[Field]],Ltbl[ind],0),IFERROR(MATCH("ALL|"&amp;XPtbl[[#This Row],[Field]],Ltbl[ind],0),-1)))</f>
        <v>0</v>
      </c>
      <c r="N18" t="str" cm="1">
        <f t="array" ref="N18">IF(XPtbl[[#This Row],[listlu]]&lt;1,"",IF(INDEX(Ltbl[Generic],XPtbl[[#This Row],[listlu]])="","",INDEX(Ltbl[RetData],XPtbl[[#This Row],[listlu]])))</f>
        <v/>
      </c>
      <c r="O18">
        <f>IF(AND(XPtbl[[#This Row],[listlu]],ISERROR(FIND(",",XPtbl[[#This Row],[liMatch]])),XPtbl[[#This Row],[liMatch]]&lt;&gt;""),1,0)</f>
        <v>0</v>
      </c>
      <c r="P18">
        <f>IF(AND(XPtbl[[#This Row],[LT]]="Ref",ISNA(MATCH(XPtbl[[#This Row],[Field]],rTbl[Ref],0))),1,0)</f>
        <v>0</v>
      </c>
      <c r="Q18" t="str">
        <f ca="1">IF(ROW()=3,IF(XPtbl[[#This Row],[LT]]="H",XPtbl[[#This Row],[Field]]&amp;"|","|"),IF(XPtbl[[#This Row],[LT]]="H",XPtbl[[#This Row],[Field]]&amp;"|"&amp;OFFSET(XPtbl[[#This Row],[Hierarchy]],-1,0),IF(XPtbl[[#This Row],[LT]]&lt;&gt;"!H",OFFSET(XPtbl[[#This Row],[Hierarchy]],-1,0),RIGHT(OFFSET(XPtbl[[#This Row],[Hierarchy]],-1,0),LEN(OFFSET(XPtbl[[#This Row],[Hierarchy]],-1,0))-LEN(XPtbl[[#This Row],[Field]])-1))))</f>
        <v>Aliases|Products|</v>
      </c>
      <c r="R18">
        <f ca="1">FIND("~",SUBSTITUTE(XPtbl[[#This Row],[Hierarchy]],"|","~",1))</f>
        <v>8</v>
      </c>
      <c r="S18">
        <f ca="1">FIND("~",SUBSTITUTE(XPtbl[[#This Row],[Hierarchy]],"|","~",2))</f>
        <v>17</v>
      </c>
      <c r="T18" cm="1">
        <f t="array" ref="T18">IF(XPtbl[[#This Row],[listlu]]=0,0,IF(INDEX(Ltbl[Context],XPtbl[[#This Row],[listlu]],1)="ALL",1,2))</f>
        <v>0</v>
      </c>
      <c r="U18" s="29"/>
    </row>
    <row r="19" spans="1:21">
      <c r="A19" s="15" t="s">
        <v>177</v>
      </c>
      <c r="B19" t="s">
        <v>504</v>
      </c>
      <c r="D19" s="1"/>
      <c r="E19" s="1"/>
      <c r="F19" s="1"/>
      <c r="G19" s="1"/>
      <c r="H19" s="1"/>
      <c r="I19" s="19"/>
      <c r="J19" s="28"/>
      <c r="K19" t="s">
        <v>365</v>
      </c>
      <c r="L19" s="1">
        <v>0</v>
      </c>
      <c r="M19">
        <f>IF(RIGHT(XPtbl[[#This Row],[valid]],4)&lt;&gt;"list",0,IFERROR(MATCH(XPtbl[[#This Row],[Context]]&amp;"|"&amp;XPtbl[[#This Row],[Field]],Ltbl[ind],0),IFERROR(MATCH("ALL|"&amp;XPtbl[[#This Row],[Field]],Ltbl[ind],0),-1)))</f>
        <v>0</v>
      </c>
      <c r="N19" t="str" cm="1">
        <f t="array" ref="N19">IF(XPtbl[[#This Row],[listlu]]&lt;1,"",IF(INDEX(Ltbl[Generic],XPtbl[[#This Row],[listlu]])="","",INDEX(Ltbl[RetData],XPtbl[[#This Row],[listlu]])))</f>
        <v/>
      </c>
      <c r="O19">
        <f>IF(AND(XPtbl[[#This Row],[listlu]],ISERROR(FIND(",",XPtbl[[#This Row],[liMatch]])),XPtbl[[#This Row],[liMatch]]&lt;&gt;""),1,0)</f>
        <v>0</v>
      </c>
      <c r="P19">
        <f>IF(AND(XPtbl[[#This Row],[LT]]="Ref",ISNA(MATCH(XPtbl[[#This Row],[Field]],rTbl[Ref],0))),1,0)</f>
        <v>0</v>
      </c>
      <c r="Q19"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19">
        <f ca="1">FIND("~",SUBSTITUTE(XPtbl[[#This Row],[Hierarchy]],"|","~",1))</f>
        <v>9</v>
      </c>
      <c r="S19" t="e">
        <f ca="1">FIND("~",SUBSTITUTE(XPtbl[[#This Row],[Hierarchy]],"|","~",2))</f>
        <v>#VALUE!</v>
      </c>
      <c r="T19" cm="1">
        <f t="array" ref="T19">IF(XPtbl[[#This Row],[listlu]]=0,0,IF(INDEX(Ltbl[Context],XPtbl[[#This Row],[listlu]],1)="ALL",1,2))</f>
        <v>0</v>
      </c>
      <c r="U19" s="29"/>
    </row>
    <row r="20" spans="1:21">
      <c r="A20" s="15" t="s">
        <v>25</v>
      </c>
      <c r="B20" t="s">
        <v>382</v>
      </c>
      <c r="D20" s="1"/>
      <c r="E20" s="1"/>
      <c r="F20" s="1"/>
      <c r="G20" s="1"/>
      <c r="H20" s="1"/>
      <c r="I20" s="19" t="s">
        <v>383</v>
      </c>
      <c r="J20" s="28"/>
      <c r="K20" t="s">
        <v>365</v>
      </c>
      <c r="L20" s="1">
        <v>1</v>
      </c>
      <c r="M20">
        <f>IF(RIGHT(XPtbl[[#This Row],[valid]],4)&lt;&gt;"list",0,IFERROR(MATCH(XPtbl[[#This Row],[Context]]&amp;"|"&amp;XPtbl[[#This Row],[Field]],Ltbl[ind],0),IFERROR(MATCH("ALL|"&amp;XPtbl[[#This Row],[Field]],Ltbl[ind],0),-1)))</f>
        <v>0</v>
      </c>
      <c r="N20" t="str" cm="1">
        <f t="array" ref="N20">IF(XPtbl[[#This Row],[listlu]]&lt;1,"",IF(INDEX(Ltbl[Generic],XPtbl[[#This Row],[listlu]])="","",INDEX(Ltbl[RetData],XPtbl[[#This Row],[listlu]])))</f>
        <v/>
      </c>
      <c r="O20">
        <f>IF(AND(XPtbl[[#This Row],[listlu]],ISERROR(FIND(",",XPtbl[[#This Row],[liMatch]])),XPtbl[[#This Row],[liMatch]]&lt;&gt;""),1,0)</f>
        <v>0</v>
      </c>
      <c r="P20">
        <f>IF(AND(XPtbl[[#This Row],[LT]]="Ref",ISNA(MATCH(XPtbl[[#This Row],[Field]],rTbl[Ref],0))),1,0)</f>
        <v>0</v>
      </c>
      <c r="Q20"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20">
        <f ca="1">FIND("~",SUBSTITUTE(XPtbl[[#This Row],[Hierarchy]],"|","~",1))</f>
        <v>9</v>
      </c>
      <c r="S20" t="e">
        <f ca="1">FIND("~",SUBSTITUTE(XPtbl[[#This Row],[Hierarchy]],"|","~",2))</f>
        <v>#VALUE!</v>
      </c>
      <c r="T20" cm="1">
        <f t="array" ref="T20">IF(XPtbl[[#This Row],[listlu]]=0,0,IF(INDEX(Ltbl[Context],XPtbl[[#This Row],[listlu]],1)="ALL",1,2))</f>
        <v>0</v>
      </c>
      <c r="U20" s="29"/>
    </row>
    <row r="21" spans="1:21">
      <c r="A21" s="15" t="s">
        <v>28</v>
      </c>
      <c r="B21" t="s">
        <v>384</v>
      </c>
      <c r="C21" t="s">
        <v>30</v>
      </c>
      <c r="D21" s="1">
        <v>30</v>
      </c>
      <c r="E21" s="1" t="s">
        <v>385</v>
      </c>
      <c r="F21" s="1"/>
      <c r="G21" s="1"/>
      <c r="H21" s="1"/>
      <c r="I21" s="19" t="s">
        <v>386</v>
      </c>
      <c r="J21" s="28" t="s">
        <v>387</v>
      </c>
      <c r="K21" t="s">
        <v>365</v>
      </c>
      <c r="L21" s="1">
        <v>1</v>
      </c>
      <c r="M21">
        <f>IF(RIGHT(XPtbl[[#This Row],[valid]],4)&lt;&gt;"list",0,IFERROR(MATCH(XPtbl[[#This Row],[Context]]&amp;"|"&amp;XPtbl[[#This Row],[Field]],Ltbl[ind],0),IFERROR(MATCH("ALL|"&amp;XPtbl[[#This Row],[Field]],Ltbl[ind],0),-1)))</f>
        <v>0</v>
      </c>
      <c r="N21" t="str" cm="1">
        <f t="array" ref="N21">IF(XPtbl[[#This Row],[listlu]]&lt;1,"",IF(INDEX(Ltbl[Generic],XPtbl[[#This Row],[listlu]])="","",INDEX(Ltbl[RetData],XPtbl[[#This Row],[listlu]])))</f>
        <v/>
      </c>
      <c r="O21">
        <f>IF(AND(XPtbl[[#This Row],[listlu]],ISERROR(FIND(",",XPtbl[[#This Row],[liMatch]])),XPtbl[[#This Row],[liMatch]]&lt;&gt;""),1,0)</f>
        <v>0</v>
      </c>
      <c r="P21">
        <f>IF(AND(XPtbl[[#This Row],[LT]]="Ref",ISNA(MATCH(XPtbl[[#This Row],[Field]],rTbl[Ref],0))),1,0)</f>
        <v>0</v>
      </c>
      <c r="Q21"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21">
        <f ca="1">FIND("~",SUBSTITUTE(XPtbl[[#This Row],[Hierarchy]],"|","~",1))</f>
        <v>9</v>
      </c>
      <c r="S21" t="e">
        <f ca="1">FIND("~",SUBSTITUTE(XPtbl[[#This Row],[Hierarchy]],"|","~",2))</f>
        <v>#VALUE!</v>
      </c>
      <c r="T21" cm="1">
        <f t="array" ref="T21">IF(XPtbl[[#This Row],[listlu]]=0,0,IF(INDEX(Ltbl[Context],XPtbl[[#This Row],[listlu]],1)="ALL",1,2))</f>
        <v>0</v>
      </c>
      <c r="U21" s="29"/>
    </row>
    <row r="22" spans="1:21">
      <c r="A22" s="15" t="s">
        <v>28</v>
      </c>
      <c r="B22" t="s">
        <v>388</v>
      </c>
      <c r="C22" t="s">
        <v>30</v>
      </c>
      <c r="D22" s="1">
        <v>250</v>
      </c>
      <c r="E22" s="1" t="s">
        <v>385</v>
      </c>
      <c r="F22" s="1"/>
      <c r="G22" s="1"/>
      <c r="H22" s="1"/>
      <c r="I22" s="19" t="s">
        <v>389</v>
      </c>
      <c r="J22" s="28" t="s">
        <v>390</v>
      </c>
      <c r="K22" t="s">
        <v>365</v>
      </c>
      <c r="L22" s="1">
        <v>1</v>
      </c>
      <c r="M22">
        <f>IF(RIGHT(XPtbl[[#This Row],[valid]],4)&lt;&gt;"list",0,IFERROR(MATCH(XPtbl[[#This Row],[Context]]&amp;"|"&amp;XPtbl[[#This Row],[Field]],Ltbl[ind],0),IFERROR(MATCH("ALL|"&amp;XPtbl[[#This Row],[Field]],Ltbl[ind],0),-1)))</f>
        <v>0</v>
      </c>
      <c r="N22" t="str" cm="1">
        <f t="array" ref="N22">IF(XPtbl[[#This Row],[listlu]]&lt;1,"",IF(INDEX(Ltbl[Generic],XPtbl[[#This Row],[listlu]])="","",INDEX(Ltbl[RetData],XPtbl[[#This Row],[listlu]])))</f>
        <v/>
      </c>
      <c r="O22">
        <f>IF(AND(XPtbl[[#This Row],[listlu]],ISERROR(FIND(",",XPtbl[[#This Row],[liMatch]])),XPtbl[[#This Row],[liMatch]]&lt;&gt;""),1,0)</f>
        <v>0</v>
      </c>
      <c r="P22">
        <f>IF(AND(XPtbl[[#This Row],[LT]]="Ref",ISNA(MATCH(XPtbl[[#This Row],[Field]],rTbl[Ref],0))),1,0)</f>
        <v>0</v>
      </c>
      <c r="Q22"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22">
        <f ca="1">FIND("~",SUBSTITUTE(XPtbl[[#This Row],[Hierarchy]],"|","~",1))</f>
        <v>9</v>
      </c>
      <c r="S22" t="e">
        <f ca="1">FIND("~",SUBSTITUTE(XPtbl[[#This Row],[Hierarchy]],"|","~",2))</f>
        <v>#VALUE!</v>
      </c>
      <c r="T22" cm="1">
        <f t="array" ref="T22">IF(XPtbl[[#This Row],[listlu]]=0,0,IF(INDEX(Ltbl[Context],XPtbl[[#This Row],[listlu]],1)="ALL",1,2))</f>
        <v>0</v>
      </c>
      <c r="U22" s="29"/>
    </row>
    <row r="23" spans="1:21">
      <c r="A23" s="15" t="s">
        <v>28</v>
      </c>
      <c r="B23" t="s">
        <v>391</v>
      </c>
      <c r="C23" t="s">
        <v>30</v>
      </c>
      <c r="D23" s="1">
        <v>50</v>
      </c>
      <c r="E23" s="1">
        <v>1</v>
      </c>
      <c r="F23" s="1"/>
      <c r="G23" s="1"/>
      <c r="H23" s="1"/>
      <c r="I23" s="19" t="s">
        <v>392</v>
      </c>
      <c r="J23" s="28" t="s">
        <v>393</v>
      </c>
      <c r="K23" t="s">
        <v>365</v>
      </c>
      <c r="L23" s="1">
        <v>1</v>
      </c>
      <c r="M23">
        <f>IF(RIGHT(XPtbl[[#This Row],[valid]],4)&lt;&gt;"list",0,IFERROR(MATCH(XPtbl[[#This Row],[Context]]&amp;"|"&amp;XPtbl[[#This Row],[Field]],Ltbl[ind],0),IFERROR(MATCH("ALL|"&amp;XPtbl[[#This Row],[Field]],Ltbl[ind],0),-1)))</f>
        <v>0</v>
      </c>
      <c r="N23" t="str" cm="1">
        <f t="array" ref="N23">IF(XPtbl[[#This Row],[listlu]]&lt;1,"",IF(INDEX(Ltbl[Generic],XPtbl[[#This Row],[listlu]])="","",INDEX(Ltbl[RetData],XPtbl[[#This Row],[listlu]])))</f>
        <v/>
      </c>
      <c r="O23">
        <f>IF(AND(XPtbl[[#This Row],[listlu]],ISERROR(FIND(",",XPtbl[[#This Row],[liMatch]])),XPtbl[[#This Row],[liMatch]]&lt;&gt;""),1,0)</f>
        <v>0</v>
      </c>
      <c r="P23">
        <f>IF(AND(XPtbl[[#This Row],[LT]]="Ref",ISNA(MATCH(XPtbl[[#This Row],[Field]],rTbl[Ref],0))),1,0)</f>
        <v>0</v>
      </c>
      <c r="Q23"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23">
        <f ca="1">FIND("~",SUBSTITUTE(XPtbl[[#This Row],[Hierarchy]],"|","~",1))</f>
        <v>9</v>
      </c>
      <c r="S23" t="e">
        <f ca="1">FIND("~",SUBSTITUTE(XPtbl[[#This Row],[Hierarchy]],"|","~",2))</f>
        <v>#VALUE!</v>
      </c>
      <c r="T23" cm="1">
        <f t="array" ref="T23">IF(XPtbl[[#This Row],[listlu]]=0,0,IF(INDEX(Ltbl[Context],XPtbl[[#This Row],[listlu]],1)="ALL",1,2))</f>
        <v>0</v>
      </c>
      <c r="U23" s="29"/>
    </row>
    <row r="24" spans="1:21">
      <c r="A24" s="15" t="s">
        <v>28</v>
      </c>
      <c r="B24" t="s">
        <v>394</v>
      </c>
      <c r="C24" t="s">
        <v>30</v>
      </c>
      <c r="D24" s="1">
        <v>50</v>
      </c>
      <c r="E24" s="1">
        <v>0</v>
      </c>
      <c r="F24" s="1"/>
      <c r="G24" s="1"/>
      <c r="H24" s="1"/>
      <c r="I24" s="19" t="s">
        <v>395</v>
      </c>
      <c r="J24" s="28" t="s">
        <v>396</v>
      </c>
      <c r="K24" t="s">
        <v>365</v>
      </c>
      <c r="L24" s="1">
        <v>1</v>
      </c>
      <c r="M24">
        <f>IF(RIGHT(XPtbl[[#This Row],[valid]],4)&lt;&gt;"list",0,IFERROR(MATCH(XPtbl[[#This Row],[Context]]&amp;"|"&amp;XPtbl[[#This Row],[Field]],Ltbl[ind],0),IFERROR(MATCH("ALL|"&amp;XPtbl[[#This Row],[Field]],Ltbl[ind],0),-1)))</f>
        <v>0</v>
      </c>
      <c r="N24" t="str" cm="1">
        <f t="array" ref="N24">IF(XPtbl[[#This Row],[listlu]]&lt;1,"",IF(INDEX(Ltbl[Generic],XPtbl[[#This Row],[listlu]])="","",INDEX(Ltbl[RetData],XPtbl[[#This Row],[listlu]])))</f>
        <v/>
      </c>
      <c r="O24">
        <f>IF(AND(XPtbl[[#This Row],[listlu]],ISERROR(FIND(",",XPtbl[[#This Row],[liMatch]])),XPtbl[[#This Row],[liMatch]]&lt;&gt;""),1,0)</f>
        <v>0</v>
      </c>
      <c r="P24">
        <f>IF(AND(XPtbl[[#This Row],[LT]]="Ref",ISNA(MATCH(XPtbl[[#This Row],[Field]],rTbl[Ref],0))),1,0)</f>
        <v>0</v>
      </c>
      <c r="Q24"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24">
        <f ca="1">FIND("~",SUBSTITUTE(XPtbl[[#This Row],[Hierarchy]],"|","~",1))</f>
        <v>9</v>
      </c>
      <c r="S24" t="e">
        <f ca="1">FIND("~",SUBSTITUTE(XPtbl[[#This Row],[Hierarchy]],"|","~",2))</f>
        <v>#VALUE!</v>
      </c>
      <c r="T24" cm="1">
        <f t="array" ref="T24">IF(XPtbl[[#This Row],[listlu]]=0,0,IF(INDEX(Ltbl[Context],XPtbl[[#This Row],[listlu]],1)="ALL",1,2))</f>
        <v>0</v>
      </c>
      <c r="U24" s="29"/>
    </row>
    <row r="25" spans="1:21">
      <c r="A25" s="15" t="s">
        <v>28</v>
      </c>
      <c r="B25" t="s">
        <v>397</v>
      </c>
      <c r="C25" t="s">
        <v>30</v>
      </c>
      <c r="D25" s="1">
        <v>50</v>
      </c>
      <c r="E25" s="1">
        <v>0</v>
      </c>
      <c r="F25" s="1"/>
      <c r="G25" s="1"/>
      <c r="H25" s="1"/>
      <c r="I25" s="19" t="s">
        <v>398</v>
      </c>
      <c r="J25" s="28" t="s">
        <v>399</v>
      </c>
      <c r="K25" t="s">
        <v>365</v>
      </c>
      <c r="L25" s="1">
        <v>1</v>
      </c>
      <c r="M25">
        <f>IF(RIGHT(XPtbl[[#This Row],[valid]],4)&lt;&gt;"list",0,IFERROR(MATCH(XPtbl[[#This Row],[Context]]&amp;"|"&amp;XPtbl[[#This Row],[Field]],Ltbl[ind],0),IFERROR(MATCH("ALL|"&amp;XPtbl[[#This Row],[Field]],Ltbl[ind],0),-1)))</f>
        <v>0</v>
      </c>
      <c r="N25" t="str" cm="1">
        <f t="array" ref="N25">IF(XPtbl[[#This Row],[listlu]]&lt;1,"",IF(INDEX(Ltbl[Generic],XPtbl[[#This Row],[listlu]])="","",INDEX(Ltbl[RetData],XPtbl[[#This Row],[listlu]])))</f>
        <v/>
      </c>
      <c r="O25">
        <f>IF(AND(XPtbl[[#This Row],[listlu]],ISERROR(FIND(",",XPtbl[[#This Row],[liMatch]])),XPtbl[[#This Row],[liMatch]]&lt;&gt;""),1,0)</f>
        <v>0</v>
      </c>
      <c r="P25">
        <f>IF(AND(XPtbl[[#This Row],[LT]]="Ref",ISNA(MATCH(XPtbl[[#This Row],[Field]],rTbl[Ref],0))),1,0)</f>
        <v>0</v>
      </c>
      <c r="Q25"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25">
        <f ca="1">FIND("~",SUBSTITUTE(XPtbl[[#This Row],[Hierarchy]],"|","~",1))</f>
        <v>9</v>
      </c>
      <c r="S25" t="e">
        <f ca="1">FIND("~",SUBSTITUTE(XPtbl[[#This Row],[Hierarchy]],"|","~",2))</f>
        <v>#VALUE!</v>
      </c>
      <c r="T25" cm="1">
        <f t="array" ref="T25">IF(XPtbl[[#This Row],[listlu]]=0,0,IF(INDEX(Ltbl[Context],XPtbl[[#This Row],[listlu]],1)="ALL",1,2))</f>
        <v>0</v>
      </c>
      <c r="U25" s="29"/>
    </row>
    <row r="26" spans="1:21">
      <c r="A26" s="15" t="s">
        <v>28</v>
      </c>
      <c r="B26" t="s">
        <v>400</v>
      </c>
      <c r="C26" t="s">
        <v>30</v>
      </c>
      <c r="D26" s="1">
        <v>12</v>
      </c>
      <c r="E26" s="1" t="s">
        <v>385</v>
      </c>
      <c r="F26" s="1"/>
      <c r="G26" s="1"/>
      <c r="H26" s="1"/>
      <c r="I26" s="19" t="s">
        <v>401</v>
      </c>
      <c r="J26" s="28">
        <v>83783298</v>
      </c>
      <c r="K26" t="s">
        <v>365</v>
      </c>
      <c r="L26" s="1">
        <v>1</v>
      </c>
      <c r="M26">
        <f>IF(RIGHT(XPtbl[[#This Row],[valid]],4)&lt;&gt;"list",0,IFERROR(MATCH(XPtbl[[#This Row],[Context]]&amp;"|"&amp;XPtbl[[#This Row],[Field]],Ltbl[ind],0),IFERROR(MATCH("ALL|"&amp;XPtbl[[#This Row],[Field]],Ltbl[ind],0),-1)))</f>
        <v>0</v>
      </c>
      <c r="N26" t="str" cm="1">
        <f t="array" ref="N26">IF(XPtbl[[#This Row],[listlu]]&lt;1,"",IF(INDEX(Ltbl[Generic],XPtbl[[#This Row],[listlu]])="","",INDEX(Ltbl[RetData],XPtbl[[#This Row],[listlu]])))</f>
        <v/>
      </c>
      <c r="O26">
        <f>IF(AND(XPtbl[[#This Row],[listlu]],ISERROR(FIND(",",XPtbl[[#This Row],[liMatch]])),XPtbl[[#This Row],[liMatch]]&lt;&gt;""),1,0)</f>
        <v>0</v>
      </c>
      <c r="P26">
        <f>IF(AND(XPtbl[[#This Row],[LT]]="Ref",ISNA(MATCH(XPtbl[[#This Row],[Field]],rTbl[Ref],0))),1,0)</f>
        <v>0</v>
      </c>
      <c r="Q26"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26">
        <f ca="1">FIND("~",SUBSTITUTE(XPtbl[[#This Row],[Hierarchy]],"|","~",1))</f>
        <v>9</v>
      </c>
      <c r="S26" t="e">
        <f ca="1">FIND("~",SUBSTITUTE(XPtbl[[#This Row],[Hierarchy]],"|","~",2))</f>
        <v>#VALUE!</v>
      </c>
      <c r="T26" cm="1">
        <f t="array" ref="T26">IF(XPtbl[[#This Row],[listlu]]=0,0,IF(INDEX(Ltbl[Context],XPtbl[[#This Row],[listlu]],1)="ALL",1,2))</f>
        <v>0</v>
      </c>
      <c r="U26" s="29"/>
    </row>
    <row r="27" spans="1:21">
      <c r="A27" s="15" t="s">
        <v>28</v>
      </c>
      <c r="B27" t="s">
        <v>402</v>
      </c>
      <c r="C27" t="s">
        <v>133</v>
      </c>
      <c r="D27" s="1"/>
      <c r="E27" s="1">
        <v>0</v>
      </c>
      <c r="F27" s="1"/>
      <c r="G27" s="1"/>
      <c r="H27" s="1"/>
      <c r="I27" s="19" t="s">
        <v>403</v>
      </c>
      <c r="J27" s="28" t="s">
        <v>404</v>
      </c>
      <c r="K27" t="s">
        <v>365</v>
      </c>
      <c r="L27" s="1">
        <v>1</v>
      </c>
      <c r="M27">
        <f>IF(RIGHT(XPtbl[[#This Row],[valid]],4)&lt;&gt;"list",0,IFERROR(MATCH(XPtbl[[#This Row],[Context]]&amp;"|"&amp;XPtbl[[#This Row],[Field]],Ltbl[ind],0),IFERROR(MATCH("ALL|"&amp;XPtbl[[#This Row],[Field]],Ltbl[ind],0),-1)))</f>
        <v>0</v>
      </c>
      <c r="N27" t="str" cm="1">
        <f t="array" ref="N27">IF(XPtbl[[#This Row],[listlu]]&lt;1,"",IF(INDEX(Ltbl[Generic],XPtbl[[#This Row],[listlu]])="","",INDEX(Ltbl[RetData],XPtbl[[#This Row],[listlu]])))</f>
        <v/>
      </c>
      <c r="O27">
        <f>IF(AND(XPtbl[[#This Row],[listlu]],ISERROR(FIND(",",XPtbl[[#This Row],[liMatch]])),XPtbl[[#This Row],[liMatch]]&lt;&gt;""),1,0)</f>
        <v>0</v>
      </c>
      <c r="P27">
        <f>IF(AND(XPtbl[[#This Row],[LT]]="Ref",ISNA(MATCH(XPtbl[[#This Row],[Field]],rTbl[Ref],0))),1,0)</f>
        <v>0</v>
      </c>
      <c r="Q27"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27">
        <f ca="1">FIND("~",SUBSTITUTE(XPtbl[[#This Row],[Hierarchy]],"|","~",1))</f>
        <v>9</v>
      </c>
      <c r="S27" t="e">
        <f ca="1">FIND("~",SUBSTITUTE(XPtbl[[#This Row],[Hierarchy]],"|","~",2))</f>
        <v>#VALUE!</v>
      </c>
      <c r="T27" cm="1">
        <f t="array" ref="T27">IF(XPtbl[[#This Row],[listlu]]=0,0,IF(INDEX(Ltbl[Context],XPtbl[[#This Row],[listlu]],1)="ALL",1,2))</f>
        <v>0</v>
      </c>
      <c r="U27" s="29"/>
    </row>
    <row r="28" spans="1:21">
      <c r="A28" s="15" t="s">
        <v>28</v>
      </c>
      <c r="B28" t="s">
        <v>405</v>
      </c>
      <c r="C28" t="s">
        <v>30</v>
      </c>
      <c r="D28" s="1">
        <v>2</v>
      </c>
      <c r="E28" s="1">
        <v>1</v>
      </c>
      <c r="F28" s="1"/>
      <c r="G28" s="1"/>
      <c r="H28" s="1"/>
      <c r="I28" s="19" t="s">
        <v>406</v>
      </c>
      <c r="J28" s="28" t="s">
        <v>407</v>
      </c>
      <c r="K28" t="s">
        <v>365</v>
      </c>
      <c r="L28" s="1">
        <v>1</v>
      </c>
      <c r="M28">
        <f>IF(RIGHT(XPtbl[[#This Row],[valid]],4)&lt;&gt;"list",0,IFERROR(MATCH(XPtbl[[#This Row],[Context]]&amp;"|"&amp;XPtbl[[#This Row],[Field]],Ltbl[ind],0),IFERROR(MATCH("ALL|"&amp;XPtbl[[#This Row],[Field]],Ltbl[ind],0),-1)))</f>
        <v>0</v>
      </c>
      <c r="N28" t="str" cm="1">
        <f t="array" ref="N28">IF(XPtbl[[#This Row],[listlu]]&lt;1,"",IF(INDEX(Ltbl[Generic],XPtbl[[#This Row],[listlu]])="","",INDEX(Ltbl[RetData],XPtbl[[#This Row],[listlu]])))</f>
        <v/>
      </c>
      <c r="O28">
        <f>IF(AND(XPtbl[[#This Row],[listlu]],ISERROR(FIND(",",XPtbl[[#This Row],[liMatch]])),XPtbl[[#This Row],[liMatch]]&lt;&gt;""),1,0)</f>
        <v>0</v>
      </c>
      <c r="P28">
        <f>IF(AND(XPtbl[[#This Row],[LT]]="Ref",ISNA(MATCH(XPtbl[[#This Row],[Field]],rTbl[Ref],0))),1,0)</f>
        <v>0</v>
      </c>
      <c r="Q28"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28">
        <f ca="1">FIND("~",SUBSTITUTE(XPtbl[[#This Row],[Hierarchy]],"|","~",1))</f>
        <v>9</v>
      </c>
      <c r="S28" t="e">
        <f ca="1">FIND("~",SUBSTITUTE(XPtbl[[#This Row],[Hierarchy]],"|","~",2))</f>
        <v>#VALUE!</v>
      </c>
      <c r="T28" cm="1">
        <f t="array" ref="T28">IF(XPtbl[[#This Row],[listlu]]=0,0,IF(INDEX(Ltbl[Context],XPtbl[[#This Row],[listlu]],1)="ALL",1,2))</f>
        <v>0</v>
      </c>
      <c r="U28" s="29"/>
    </row>
    <row r="29" spans="1:21">
      <c r="A29" s="15" t="s">
        <v>28</v>
      </c>
      <c r="B29" t="s">
        <v>408</v>
      </c>
      <c r="C29" t="s">
        <v>84</v>
      </c>
      <c r="D29" s="1"/>
      <c r="E29" s="1">
        <v>1</v>
      </c>
      <c r="F29" s="1"/>
      <c r="G29" s="1"/>
      <c r="H29" s="1"/>
      <c r="I29" s="19" t="s">
        <v>409</v>
      </c>
      <c r="J29" s="28" t="s">
        <v>86</v>
      </c>
      <c r="K29" t="s">
        <v>365</v>
      </c>
      <c r="L29" s="1">
        <v>1</v>
      </c>
      <c r="M29">
        <f>IF(RIGHT(XPtbl[[#This Row],[valid]],4)&lt;&gt;"list",0,IFERROR(MATCH(XPtbl[[#This Row],[Context]]&amp;"|"&amp;XPtbl[[#This Row],[Field]],Ltbl[ind],0),IFERROR(MATCH("ALL|"&amp;XPtbl[[#This Row],[Field]],Ltbl[ind],0),-1)))</f>
        <v>0</v>
      </c>
      <c r="N29" t="str" cm="1">
        <f t="array" ref="N29">IF(XPtbl[[#This Row],[listlu]]&lt;1,"",IF(INDEX(Ltbl[Generic],XPtbl[[#This Row],[listlu]])="","",INDEX(Ltbl[RetData],XPtbl[[#This Row],[listlu]])))</f>
        <v/>
      </c>
      <c r="O29">
        <f>IF(AND(XPtbl[[#This Row],[listlu]],ISERROR(FIND(",",XPtbl[[#This Row],[liMatch]])),XPtbl[[#This Row],[liMatch]]&lt;&gt;""),1,0)</f>
        <v>0</v>
      </c>
      <c r="P29">
        <f>IF(AND(XPtbl[[#This Row],[LT]]="Ref",ISNA(MATCH(XPtbl[[#This Row],[Field]],rTbl[Ref],0))),1,0)</f>
        <v>0</v>
      </c>
      <c r="Q29"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29">
        <f ca="1">FIND("~",SUBSTITUTE(XPtbl[[#This Row],[Hierarchy]],"|","~",1))</f>
        <v>9</v>
      </c>
      <c r="S29" t="e">
        <f ca="1">FIND("~",SUBSTITUTE(XPtbl[[#This Row],[Hierarchy]],"|","~",2))</f>
        <v>#VALUE!</v>
      </c>
      <c r="T29" cm="1">
        <f t="array" ref="T29">IF(XPtbl[[#This Row],[listlu]]=0,0,IF(INDEX(Ltbl[Context],XPtbl[[#This Row],[listlu]],1)="ALL",1,2))</f>
        <v>0</v>
      </c>
      <c r="U29" s="29"/>
    </row>
    <row r="30" spans="1:21">
      <c r="A30" s="15" t="s">
        <v>28</v>
      </c>
      <c r="B30" t="s">
        <v>410</v>
      </c>
      <c r="C30" t="s">
        <v>84</v>
      </c>
      <c r="D30" s="1"/>
      <c r="E30" s="1">
        <v>1</v>
      </c>
      <c r="F30" s="1"/>
      <c r="G30" s="1"/>
      <c r="H30" s="1"/>
      <c r="I30" s="19" t="s">
        <v>411</v>
      </c>
      <c r="J30" s="28">
        <v>0</v>
      </c>
      <c r="K30" t="s">
        <v>365</v>
      </c>
      <c r="L30" s="1">
        <v>1</v>
      </c>
      <c r="M30">
        <f>IF(RIGHT(XPtbl[[#This Row],[valid]],4)&lt;&gt;"list",0,IFERROR(MATCH(XPtbl[[#This Row],[Context]]&amp;"|"&amp;XPtbl[[#This Row],[Field]],Ltbl[ind],0),IFERROR(MATCH("ALL|"&amp;XPtbl[[#This Row],[Field]],Ltbl[ind],0),-1)))</f>
        <v>0</v>
      </c>
      <c r="N30" t="str" cm="1">
        <f t="array" ref="N30">IF(XPtbl[[#This Row],[listlu]]&lt;1,"",IF(INDEX(Ltbl[Generic],XPtbl[[#This Row],[listlu]])="","",INDEX(Ltbl[RetData],XPtbl[[#This Row],[listlu]])))</f>
        <v/>
      </c>
      <c r="O30">
        <f>IF(AND(XPtbl[[#This Row],[listlu]],ISERROR(FIND(",",XPtbl[[#This Row],[liMatch]])),XPtbl[[#This Row],[liMatch]]&lt;&gt;""),1,0)</f>
        <v>0</v>
      </c>
      <c r="P30">
        <f>IF(AND(XPtbl[[#This Row],[LT]]="Ref",ISNA(MATCH(XPtbl[[#This Row],[Field]],rTbl[Ref],0))),1,0)</f>
        <v>0</v>
      </c>
      <c r="Q30"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30">
        <f ca="1">FIND("~",SUBSTITUTE(XPtbl[[#This Row],[Hierarchy]],"|","~",1))</f>
        <v>9</v>
      </c>
      <c r="S30" t="e">
        <f ca="1">FIND("~",SUBSTITUTE(XPtbl[[#This Row],[Hierarchy]],"|","~",2))</f>
        <v>#VALUE!</v>
      </c>
      <c r="T30" cm="1">
        <f t="array" ref="T30">IF(XPtbl[[#This Row],[listlu]]=0,0,IF(INDEX(Ltbl[Context],XPtbl[[#This Row],[listlu]],1)="ALL",1,2))</f>
        <v>0</v>
      </c>
      <c r="U30" s="29"/>
    </row>
    <row r="31" spans="1:21">
      <c r="A31" s="15" t="s">
        <v>28</v>
      </c>
      <c r="B31" t="s">
        <v>412</v>
      </c>
      <c r="C31" t="s">
        <v>84</v>
      </c>
      <c r="D31" s="1"/>
      <c r="E31" s="1">
        <v>1</v>
      </c>
      <c r="F31" s="1"/>
      <c r="G31" s="1"/>
      <c r="H31" s="1"/>
      <c r="I31" s="19" t="s">
        <v>413</v>
      </c>
      <c r="J31" s="28">
        <v>0</v>
      </c>
      <c r="K31" t="s">
        <v>365</v>
      </c>
      <c r="L31" s="1">
        <v>1</v>
      </c>
      <c r="M31">
        <f>IF(RIGHT(XPtbl[[#This Row],[valid]],4)&lt;&gt;"list",0,IFERROR(MATCH(XPtbl[[#This Row],[Context]]&amp;"|"&amp;XPtbl[[#This Row],[Field]],Ltbl[ind],0),IFERROR(MATCH("ALL|"&amp;XPtbl[[#This Row],[Field]],Ltbl[ind],0),-1)))</f>
        <v>0</v>
      </c>
      <c r="N31" t="str" cm="1">
        <f t="array" ref="N31">IF(XPtbl[[#This Row],[listlu]]&lt;1,"",IF(INDEX(Ltbl[Generic],XPtbl[[#This Row],[listlu]])="","",INDEX(Ltbl[RetData],XPtbl[[#This Row],[listlu]])))</f>
        <v/>
      </c>
      <c r="O31">
        <f>IF(AND(XPtbl[[#This Row],[listlu]],ISERROR(FIND(",",XPtbl[[#This Row],[liMatch]])),XPtbl[[#This Row],[liMatch]]&lt;&gt;""),1,0)</f>
        <v>0</v>
      </c>
      <c r="P31">
        <f>IF(AND(XPtbl[[#This Row],[LT]]="Ref",ISNA(MATCH(XPtbl[[#This Row],[Field]],rTbl[Ref],0))),1,0)</f>
        <v>0</v>
      </c>
      <c r="Q31"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31">
        <f ca="1">FIND("~",SUBSTITUTE(XPtbl[[#This Row],[Hierarchy]],"|","~",1))</f>
        <v>9</v>
      </c>
      <c r="S31" t="e">
        <f ca="1">FIND("~",SUBSTITUTE(XPtbl[[#This Row],[Hierarchy]],"|","~",2))</f>
        <v>#VALUE!</v>
      </c>
      <c r="T31" cm="1">
        <f t="array" ref="T31">IF(XPtbl[[#This Row],[listlu]]=0,0,IF(INDEX(Ltbl[Context],XPtbl[[#This Row],[listlu]],1)="ALL",1,2))</f>
        <v>0</v>
      </c>
      <c r="U31" s="29"/>
    </row>
    <row r="32" spans="1:21">
      <c r="A32" s="15" t="s">
        <v>28</v>
      </c>
      <c r="B32" t="s">
        <v>414</v>
      </c>
      <c r="C32" t="s">
        <v>84</v>
      </c>
      <c r="D32" s="1"/>
      <c r="E32" s="1">
        <v>1</v>
      </c>
      <c r="F32" s="1"/>
      <c r="G32" s="1"/>
      <c r="H32" s="1"/>
      <c r="I32" s="19" t="s">
        <v>415</v>
      </c>
      <c r="J32" s="28">
        <v>0</v>
      </c>
      <c r="K32" t="s">
        <v>365</v>
      </c>
      <c r="L32" s="1">
        <v>1</v>
      </c>
      <c r="M32">
        <f>IF(RIGHT(XPtbl[[#This Row],[valid]],4)&lt;&gt;"list",0,IFERROR(MATCH(XPtbl[[#This Row],[Context]]&amp;"|"&amp;XPtbl[[#This Row],[Field]],Ltbl[ind],0),IFERROR(MATCH("ALL|"&amp;XPtbl[[#This Row],[Field]],Ltbl[ind],0),-1)))</f>
        <v>0</v>
      </c>
      <c r="N32" t="str" cm="1">
        <f t="array" ref="N32">IF(XPtbl[[#This Row],[listlu]]&lt;1,"",IF(INDEX(Ltbl[Generic],XPtbl[[#This Row],[listlu]])="","",INDEX(Ltbl[RetData],XPtbl[[#This Row],[listlu]])))</f>
        <v/>
      </c>
      <c r="O32">
        <f>IF(AND(XPtbl[[#This Row],[listlu]],ISERROR(FIND(",",XPtbl[[#This Row],[liMatch]])),XPtbl[[#This Row],[liMatch]]&lt;&gt;""),1,0)</f>
        <v>0</v>
      </c>
      <c r="P32">
        <f>IF(AND(XPtbl[[#This Row],[LT]]="Ref",ISNA(MATCH(XPtbl[[#This Row],[Field]],rTbl[Ref],0))),1,0)</f>
        <v>0</v>
      </c>
      <c r="Q32"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32">
        <f ca="1">FIND("~",SUBSTITUTE(XPtbl[[#This Row],[Hierarchy]],"|","~",1))</f>
        <v>9</v>
      </c>
      <c r="S32" t="e">
        <f ca="1">FIND("~",SUBSTITUTE(XPtbl[[#This Row],[Hierarchy]],"|","~",2))</f>
        <v>#VALUE!</v>
      </c>
      <c r="T32" cm="1">
        <f t="array" ref="T32">IF(XPtbl[[#This Row],[listlu]]=0,0,IF(INDEX(Ltbl[Context],XPtbl[[#This Row],[listlu]],1)="ALL",1,2))</f>
        <v>0</v>
      </c>
      <c r="U32" s="29"/>
    </row>
    <row r="33" spans="1:21">
      <c r="A33" s="15" t="s">
        <v>28</v>
      </c>
      <c r="B33" t="s">
        <v>328</v>
      </c>
      <c r="C33" t="s">
        <v>84</v>
      </c>
      <c r="D33" s="1"/>
      <c r="E33" s="1">
        <v>0</v>
      </c>
      <c r="F33" s="1"/>
      <c r="G33" s="1"/>
      <c r="H33" s="1"/>
      <c r="I33" s="19" t="s">
        <v>416</v>
      </c>
      <c r="J33" s="28" t="s">
        <v>417</v>
      </c>
      <c r="K33" t="s">
        <v>365</v>
      </c>
      <c r="L33" s="1">
        <v>1</v>
      </c>
      <c r="M33">
        <f>IF(RIGHT(XPtbl[[#This Row],[valid]],4)&lt;&gt;"list",0,IFERROR(MATCH(XPtbl[[#This Row],[Context]]&amp;"|"&amp;XPtbl[[#This Row],[Field]],Ltbl[ind],0),IFERROR(MATCH("ALL|"&amp;XPtbl[[#This Row],[Field]],Ltbl[ind],0),-1)))</f>
        <v>0</v>
      </c>
      <c r="N33" t="str" cm="1">
        <f t="array" ref="N33">IF(XPtbl[[#This Row],[listlu]]&lt;1,"",IF(INDEX(Ltbl[Generic],XPtbl[[#This Row],[listlu]])="","",INDEX(Ltbl[RetData],XPtbl[[#This Row],[listlu]])))</f>
        <v/>
      </c>
      <c r="O33">
        <f>IF(AND(XPtbl[[#This Row],[listlu]],ISERROR(FIND(",",XPtbl[[#This Row],[liMatch]])),XPtbl[[#This Row],[liMatch]]&lt;&gt;""),1,0)</f>
        <v>0</v>
      </c>
      <c r="P33">
        <f>IF(AND(XPtbl[[#This Row],[LT]]="Ref",ISNA(MATCH(XPtbl[[#This Row],[Field]],rTbl[Ref],0))),1,0)</f>
        <v>0</v>
      </c>
      <c r="Q33"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33">
        <f ca="1">FIND("~",SUBSTITUTE(XPtbl[[#This Row],[Hierarchy]],"|","~",1))</f>
        <v>9</v>
      </c>
      <c r="S33" t="e">
        <f ca="1">FIND("~",SUBSTITUTE(XPtbl[[#This Row],[Hierarchy]],"|","~",2))</f>
        <v>#VALUE!</v>
      </c>
      <c r="T33" cm="1">
        <f t="array" ref="T33">IF(XPtbl[[#This Row],[listlu]]=0,0,IF(INDEX(Ltbl[Context],XPtbl[[#This Row],[listlu]],1)="ALL",1,2))</f>
        <v>0</v>
      </c>
      <c r="U33" s="29"/>
    </row>
    <row r="34" spans="1:21">
      <c r="A34" s="15" t="s">
        <v>21</v>
      </c>
      <c r="B34" t="s">
        <v>512</v>
      </c>
      <c r="D34" s="1"/>
      <c r="E34" s="1">
        <v>0</v>
      </c>
      <c r="F34" s="1">
        <v>1</v>
      </c>
      <c r="G34" s="1"/>
      <c r="H34" s="1"/>
      <c r="I34" s="19" t="s">
        <v>419</v>
      </c>
      <c r="J34" s="28"/>
      <c r="K34" t="s">
        <v>365</v>
      </c>
      <c r="L34" s="1">
        <v>0</v>
      </c>
      <c r="M34">
        <f>IF(RIGHT(XPtbl[[#This Row],[valid]],4)&lt;&gt;"list",0,IFERROR(MATCH(XPtbl[[#This Row],[Context]]&amp;"|"&amp;XPtbl[[#This Row],[Field]],Ltbl[ind],0),IFERROR(MATCH("ALL|"&amp;XPtbl[[#This Row],[Field]],Ltbl[ind],0),-1)))</f>
        <v>0</v>
      </c>
      <c r="N34" t="str" cm="1">
        <f t="array" ref="N34">IF(XPtbl[[#This Row],[listlu]]&lt;1,"",IF(INDEX(Ltbl[Generic],XPtbl[[#This Row],[listlu]])="","",INDEX(Ltbl[RetData],XPtbl[[#This Row],[listlu]])))</f>
        <v/>
      </c>
      <c r="O34">
        <f>IF(AND(XPtbl[[#This Row],[listlu]],ISERROR(FIND(",",XPtbl[[#This Row],[liMatch]])),XPtbl[[#This Row],[liMatch]]&lt;&gt;""),1,0)</f>
        <v>0</v>
      </c>
      <c r="P34">
        <f>IF(AND(XPtbl[[#This Row],[LT]]="Ref",ISNA(MATCH(XPtbl[[#This Row],[Field]],rTbl[Ref],0))),1,0)</f>
        <v>0</v>
      </c>
      <c r="Q34" t="str">
        <f ca="1">IF(ROW()=3,IF(XPtbl[[#This Row],[LT]]="H",XPtbl[[#This Row],[Field]]&amp;"|","|"),IF(XPtbl[[#This Row],[LT]]="H",XPtbl[[#This Row],[Field]]&amp;"|"&amp;OFFSET(XPtbl[[#This Row],[Hierarchy]],-1,0),IF(XPtbl[[#This Row],[LT]]&lt;&gt;"!H",OFFSET(XPtbl[[#This Row],[Hierarchy]],-1,0),RIGHT(OFFSET(XPtbl[[#This Row],[Hierarchy]],-1,0),LEN(OFFSET(XPtbl[[#This Row],[Hierarchy]],-1,0))-LEN(XPtbl[[#This Row],[Field]])-1))))</f>
        <v>KitPrds|Products|</v>
      </c>
      <c r="R34">
        <f ca="1">FIND("~",SUBSTITUTE(XPtbl[[#This Row],[Hierarchy]],"|","~",1))</f>
        <v>8</v>
      </c>
      <c r="S34">
        <f ca="1">FIND("~",SUBSTITUTE(XPtbl[[#This Row],[Hierarchy]],"|","~",2))</f>
        <v>17</v>
      </c>
      <c r="T34" cm="1">
        <f t="array" ref="T34">IF(XPtbl[[#This Row],[listlu]]=0,0,IF(INDEX(Ltbl[Context],XPtbl[[#This Row],[listlu]],1)="ALL",1,2))</f>
        <v>0</v>
      </c>
      <c r="U34" s="29"/>
    </row>
    <row r="35" spans="1:21">
      <c r="A35" s="15" t="s">
        <v>28</v>
      </c>
      <c r="B35" t="s">
        <v>152</v>
      </c>
      <c r="C35" t="s">
        <v>30</v>
      </c>
      <c r="D35" s="1">
        <v>30</v>
      </c>
      <c r="E35" s="1">
        <v>1</v>
      </c>
      <c r="F35" s="1">
        <v>1</v>
      </c>
      <c r="G35" s="1"/>
      <c r="H35" s="1"/>
      <c r="I35" s="19" t="s">
        <v>514</v>
      </c>
      <c r="J35" s="28" t="s">
        <v>225</v>
      </c>
      <c r="K35" t="s">
        <v>772</v>
      </c>
      <c r="L35" s="1">
        <v>1</v>
      </c>
      <c r="M35">
        <f>IF(RIGHT(XPtbl[[#This Row],[valid]],4)&lt;&gt;"list",0,IFERROR(MATCH(XPtbl[[#This Row],[Context]]&amp;"|"&amp;XPtbl[[#This Row],[Field]],Ltbl[ind],0),IFERROR(MATCH("ALL|"&amp;XPtbl[[#This Row],[Field]],Ltbl[ind],0),-1)))</f>
        <v>0</v>
      </c>
      <c r="N35" t="str" cm="1">
        <f t="array" ref="N35">IF(XPtbl[[#This Row],[listlu]]&lt;1,"",IF(INDEX(Ltbl[Generic],XPtbl[[#This Row],[listlu]])="","",INDEX(Ltbl[RetData],XPtbl[[#This Row],[listlu]])))</f>
        <v/>
      </c>
      <c r="O35">
        <f>IF(AND(XPtbl[[#This Row],[listlu]],ISERROR(FIND(",",XPtbl[[#This Row],[liMatch]])),XPtbl[[#This Row],[liMatch]]&lt;&gt;""),1,0)</f>
        <v>0</v>
      </c>
      <c r="P35">
        <f>IF(AND(XPtbl[[#This Row],[LT]]="Ref",ISNA(MATCH(XPtbl[[#This Row],[Field]],rTbl[Ref],0))),1,0)</f>
        <v>0</v>
      </c>
      <c r="Q35" t="str">
        <f ca="1">IF(ROW()=3,IF(XPtbl[[#This Row],[LT]]="H",XPtbl[[#This Row],[Field]]&amp;"|","|"),IF(XPtbl[[#This Row],[LT]]="H",XPtbl[[#This Row],[Field]]&amp;"|"&amp;OFFSET(XPtbl[[#This Row],[Hierarchy]],-1,0),IF(XPtbl[[#This Row],[LT]]&lt;&gt;"!H",OFFSET(XPtbl[[#This Row],[Hierarchy]],-1,0),RIGHT(OFFSET(XPtbl[[#This Row],[Hierarchy]],-1,0),LEN(OFFSET(XPtbl[[#This Row],[Hierarchy]],-1,0))-LEN(XPtbl[[#This Row],[Field]])-1))))</f>
        <v>KitPrds|Products|</v>
      </c>
      <c r="R35">
        <f ca="1">FIND("~",SUBSTITUTE(XPtbl[[#This Row],[Hierarchy]],"|","~",1))</f>
        <v>8</v>
      </c>
      <c r="S35">
        <f ca="1">FIND("~",SUBSTITUTE(XPtbl[[#This Row],[Hierarchy]],"|","~",2))</f>
        <v>17</v>
      </c>
      <c r="T35" cm="1">
        <f t="array" ref="T35">IF(XPtbl[[#This Row],[listlu]]=0,0,IF(INDEX(Ltbl[Context],XPtbl[[#This Row],[listlu]],1)="ALL",1,2))</f>
        <v>0</v>
      </c>
      <c r="U35" s="29"/>
    </row>
    <row r="36" spans="1:21">
      <c r="A36" s="15" t="s">
        <v>28</v>
      </c>
      <c r="B36" t="s">
        <v>163</v>
      </c>
      <c r="C36" t="s">
        <v>84</v>
      </c>
      <c r="D36" s="1"/>
      <c r="E36" s="1">
        <v>1</v>
      </c>
      <c r="F36" s="1">
        <v>1</v>
      </c>
      <c r="G36" s="1"/>
      <c r="H36" s="1"/>
      <c r="I36" s="19" t="s">
        <v>515</v>
      </c>
      <c r="J36" s="28" t="s">
        <v>359</v>
      </c>
      <c r="K36" t="s">
        <v>772</v>
      </c>
      <c r="L36" s="1">
        <v>1</v>
      </c>
      <c r="M36">
        <f>IF(RIGHT(XPtbl[[#This Row],[valid]],4)&lt;&gt;"list",0,IFERROR(MATCH(XPtbl[[#This Row],[Context]]&amp;"|"&amp;XPtbl[[#This Row],[Field]],Ltbl[ind],0),IFERROR(MATCH("ALL|"&amp;XPtbl[[#This Row],[Field]],Ltbl[ind],0),-1)))</f>
        <v>0</v>
      </c>
      <c r="N36" t="str" cm="1">
        <f t="array" ref="N36">IF(XPtbl[[#This Row],[listlu]]&lt;1,"",IF(INDEX(Ltbl[Generic],XPtbl[[#This Row],[listlu]])="","",INDEX(Ltbl[RetData],XPtbl[[#This Row],[listlu]])))</f>
        <v/>
      </c>
      <c r="O36">
        <f>IF(AND(XPtbl[[#This Row],[listlu]],ISERROR(FIND(",",XPtbl[[#This Row],[liMatch]])),XPtbl[[#This Row],[liMatch]]&lt;&gt;""),1,0)</f>
        <v>0</v>
      </c>
      <c r="P36">
        <f>IF(AND(XPtbl[[#This Row],[LT]]="Ref",ISNA(MATCH(XPtbl[[#This Row],[Field]],rTbl[Ref],0))),1,0)</f>
        <v>0</v>
      </c>
      <c r="Q36" t="str">
        <f ca="1">IF(ROW()=3,IF(XPtbl[[#This Row],[LT]]="H",XPtbl[[#This Row],[Field]]&amp;"|","|"),IF(XPtbl[[#This Row],[LT]]="H",XPtbl[[#This Row],[Field]]&amp;"|"&amp;OFFSET(XPtbl[[#This Row],[Hierarchy]],-1,0),IF(XPtbl[[#This Row],[LT]]&lt;&gt;"!H",OFFSET(XPtbl[[#This Row],[Hierarchy]],-1,0),RIGHT(OFFSET(XPtbl[[#This Row],[Hierarchy]],-1,0),LEN(OFFSET(XPtbl[[#This Row],[Hierarchy]],-1,0))-LEN(XPtbl[[#This Row],[Field]])-1))))</f>
        <v>KitPrds|Products|</v>
      </c>
      <c r="R36">
        <f ca="1">FIND("~",SUBSTITUTE(XPtbl[[#This Row],[Hierarchy]],"|","~",1))</f>
        <v>8</v>
      </c>
      <c r="S36">
        <f ca="1">FIND("~",SUBSTITUTE(XPtbl[[#This Row],[Hierarchy]],"|","~",2))</f>
        <v>17</v>
      </c>
      <c r="T36" cm="1">
        <f t="array" ref="T36">IF(XPtbl[[#This Row],[listlu]]=0,0,IF(INDEX(Ltbl[Context],XPtbl[[#This Row],[listlu]],1)="ALL",1,2))</f>
        <v>0</v>
      </c>
      <c r="U36" s="29"/>
    </row>
    <row r="37" spans="1:21">
      <c r="A37" s="15" t="s">
        <v>177</v>
      </c>
      <c r="B37" t="s">
        <v>512</v>
      </c>
      <c r="D37" s="1"/>
      <c r="E37" s="1"/>
      <c r="F37" s="1"/>
      <c r="G37" s="1"/>
      <c r="H37" s="1"/>
      <c r="I37" s="19"/>
      <c r="J37" s="28"/>
      <c r="K37" t="s">
        <v>365</v>
      </c>
      <c r="L37" s="1">
        <v>0</v>
      </c>
      <c r="M37">
        <f>IF(RIGHT(XPtbl[[#This Row],[valid]],4)&lt;&gt;"list",0,IFERROR(MATCH(XPtbl[[#This Row],[Context]]&amp;"|"&amp;XPtbl[[#This Row],[Field]],Ltbl[ind],0),IFERROR(MATCH("ALL|"&amp;XPtbl[[#This Row],[Field]],Ltbl[ind],0),-1)))</f>
        <v>0</v>
      </c>
      <c r="N37" t="str" cm="1">
        <f t="array" ref="N37">IF(XPtbl[[#This Row],[listlu]]&lt;1,"",IF(INDEX(Ltbl[Generic],XPtbl[[#This Row],[listlu]])="","",INDEX(Ltbl[RetData],XPtbl[[#This Row],[listlu]])))</f>
        <v/>
      </c>
      <c r="O37">
        <f>IF(AND(XPtbl[[#This Row],[listlu]],ISERROR(FIND(",",XPtbl[[#This Row],[liMatch]])),XPtbl[[#This Row],[liMatch]]&lt;&gt;""),1,0)</f>
        <v>0</v>
      </c>
      <c r="P37">
        <f>IF(AND(XPtbl[[#This Row],[LT]]="Ref",ISNA(MATCH(XPtbl[[#This Row],[Field]],rTbl[Ref],0))),1,0)</f>
        <v>0</v>
      </c>
      <c r="Q37"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37">
        <f ca="1">FIND("~",SUBSTITUTE(XPtbl[[#This Row],[Hierarchy]],"|","~",1))</f>
        <v>9</v>
      </c>
      <c r="S37" t="e">
        <f ca="1">FIND("~",SUBSTITUTE(XPtbl[[#This Row],[Hierarchy]],"|","~",2))</f>
        <v>#VALUE!</v>
      </c>
      <c r="T37" cm="1">
        <f t="array" ref="T37">IF(XPtbl[[#This Row],[listlu]]=0,0,IF(INDEX(Ltbl[Context],XPtbl[[#This Row],[listlu]],1)="ALL",1,2))</f>
        <v>0</v>
      </c>
      <c r="U37" s="29"/>
    </row>
    <row r="38" spans="1:21">
      <c r="A38" s="15" t="s">
        <v>21</v>
      </c>
      <c r="B38" t="s">
        <v>484</v>
      </c>
      <c r="D38" s="1"/>
      <c r="E38" s="1" t="s">
        <v>385</v>
      </c>
      <c r="F38" s="1" t="s">
        <v>23</v>
      </c>
      <c r="G38" s="1"/>
      <c r="H38" s="1"/>
      <c r="I38" s="19" t="s">
        <v>421</v>
      </c>
      <c r="J38" s="28" t="s">
        <v>422</v>
      </c>
      <c r="K38" t="s">
        <v>365</v>
      </c>
      <c r="L38" s="1">
        <v>0</v>
      </c>
      <c r="M38">
        <f>IF(RIGHT(XPtbl[[#This Row],[valid]],4)&lt;&gt;"list",0,IFERROR(MATCH(XPtbl[[#This Row],[Context]]&amp;"|"&amp;XPtbl[[#This Row],[Field]],Ltbl[ind],0),IFERROR(MATCH("ALL|"&amp;XPtbl[[#This Row],[Field]],Ltbl[ind],0),-1)))</f>
        <v>0</v>
      </c>
      <c r="N38" t="str" cm="1">
        <f t="array" ref="N38">IF(XPtbl[[#This Row],[listlu]]&lt;1,"",IF(INDEX(Ltbl[Generic],XPtbl[[#This Row],[listlu]])="","",INDEX(Ltbl[RetData],XPtbl[[#This Row],[listlu]])))</f>
        <v/>
      </c>
      <c r="O38">
        <f>IF(AND(XPtbl[[#This Row],[listlu]],ISERROR(FIND(",",XPtbl[[#This Row],[liMatch]])),XPtbl[[#This Row],[liMatch]]&lt;&gt;""),1,0)</f>
        <v>0</v>
      </c>
      <c r="P38">
        <f>IF(AND(XPtbl[[#This Row],[LT]]="Ref",ISNA(MATCH(XPtbl[[#This Row],[Field]],rTbl[Ref],0))),1,0)</f>
        <v>0</v>
      </c>
      <c r="Q38" t="str">
        <f ca="1">IF(ROW()=3,IF(XPtbl[[#This Row],[LT]]="H",XPtbl[[#This Row],[Field]]&amp;"|","|"),IF(XPtbl[[#This Row],[LT]]="H",XPtbl[[#This Row],[Field]]&amp;"|"&amp;OFFSET(XPtbl[[#This Row],[Hierarchy]],-1,0),IF(XPtbl[[#This Row],[LT]]&lt;&gt;"!H",OFFSET(XPtbl[[#This Row],[Hierarchy]],-1,0),RIGHT(OFFSET(XPtbl[[#This Row],[Hierarchy]],-1,0),LEN(OFFSET(XPtbl[[#This Row],[Hierarchy]],-1,0))-LEN(XPtbl[[#This Row],[Field]])-1))))</f>
        <v>Pmetrics|Products|</v>
      </c>
      <c r="R38">
        <f ca="1">FIND("~",SUBSTITUTE(XPtbl[[#This Row],[Hierarchy]],"|","~",1))</f>
        <v>9</v>
      </c>
      <c r="S38">
        <f ca="1">FIND("~",SUBSTITUTE(XPtbl[[#This Row],[Hierarchy]],"|","~",2))</f>
        <v>18</v>
      </c>
      <c r="T38" cm="1">
        <f t="array" ref="T38">IF(XPtbl[[#This Row],[listlu]]=0,0,IF(INDEX(Ltbl[Context],XPtbl[[#This Row],[listlu]],1)="ALL",1,2))</f>
        <v>0</v>
      </c>
      <c r="U38" s="29"/>
    </row>
    <row r="39" spans="1:21">
      <c r="A39" s="15" t="s">
        <v>28</v>
      </c>
      <c r="B39" t="s">
        <v>159</v>
      </c>
      <c r="C39" t="s">
        <v>30</v>
      </c>
      <c r="D39" s="1">
        <v>5</v>
      </c>
      <c r="E39" s="1">
        <v>1</v>
      </c>
      <c r="F39" s="1"/>
      <c r="G39" s="1"/>
      <c r="H39" s="1" t="s">
        <v>56</v>
      </c>
      <c r="I39" s="19" t="s">
        <v>486</v>
      </c>
      <c r="J39" s="28" t="s">
        <v>161</v>
      </c>
      <c r="K39" t="s">
        <v>773</v>
      </c>
      <c r="L39" s="1">
        <v>1</v>
      </c>
      <c r="M39">
        <f>IF(RIGHT(XPtbl[[#This Row],[valid]],4)&lt;&gt;"list",0,IFERROR(MATCH(XPtbl[[#This Row],[Context]]&amp;"|"&amp;XPtbl[[#This Row],[Field]],Ltbl[ind],0),IFERROR(MATCH("ALL|"&amp;XPtbl[[#This Row],[Field]],Ltbl[ind],0),-1)))</f>
        <v>11</v>
      </c>
      <c r="N39" t="str" cm="1">
        <f t="array" ref="N39">IF(XPtbl[[#This Row],[listlu]]&lt;1,"",IF(INDEX(Ltbl[Generic],XPtbl[[#This Row],[listlu]])="","",INDEX(Ltbl[RetData],XPtbl[[#This Row],[listlu]])))</f>
        <v>EACH,INNER,OUTER</v>
      </c>
      <c r="O39">
        <f>IF(AND(XPtbl[[#This Row],[listlu]],ISERROR(FIND(",",XPtbl[[#This Row],[liMatch]])),XPtbl[[#This Row],[liMatch]]&lt;&gt;""),1,0)</f>
        <v>0</v>
      </c>
      <c r="P39">
        <f>IF(AND(XPtbl[[#This Row],[LT]]="Ref",ISNA(MATCH(XPtbl[[#This Row],[Field]],rTbl[Ref],0))),1,0)</f>
        <v>0</v>
      </c>
      <c r="Q39" t="str">
        <f ca="1">IF(ROW()=3,IF(XPtbl[[#This Row],[LT]]="H",XPtbl[[#This Row],[Field]]&amp;"|","|"),IF(XPtbl[[#This Row],[LT]]="H",XPtbl[[#This Row],[Field]]&amp;"|"&amp;OFFSET(XPtbl[[#This Row],[Hierarchy]],-1,0),IF(XPtbl[[#This Row],[LT]]&lt;&gt;"!H",OFFSET(XPtbl[[#This Row],[Hierarchy]],-1,0),RIGHT(OFFSET(XPtbl[[#This Row],[Hierarchy]],-1,0),LEN(OFFSET(XPtbl[[#This Row],[Hierarchy]],-1,0))-LEN(XPtbl[[#This Row],[Field]])-1))))</f>
        <v>Pmetrics|Products|</v>
      </c>
      <c r="R39">
        <f ca="1">FIND("~",SUBSTITUTE(XPtbl[[#This Row],[Hierarchy]],"|","~",1))</f>
        <v>9</v>
      </c>
      <c r="S39">
        <f ca="1">FIND("~",SUBSTITUTE(XPtbl[[#This Row],[Hierarchy]],"|","~",2))</f>
        <v>18</v>
      </c>
      <c r="T39" cm="1">
        <f t="array" ref="T39">IF(XPtbl[[#This Row],[listlu]]=0,0,IF(INDEX(Ltbl[Context],XPtbl[[#This Row],[listlu]],1)="ALL",1,2))</f>
        <v>1</v>
      </c>
      <c r="U39" s="29"/>
    </row>
    <row r="40" spans="1:21">
      <c r="A40" s="15" t="s">
        <v>28</v>
      </c>
      <c r="B40" t="s">
        <v>487</v>
      </c>
      <c r="C40" t="s">
        <v>84</v>
      </c>
      <c r="D40" s="1"/>
      <c r="E40" s="1">
        <v>1</v>
      </c>
      <c r="F40" s="1"/>
      <c r="G40" s="1"/>
      <c r="H40" s="1" t="s">
        <v>215</v>
      </c>
      <c r="I40" s="19" t="s">
        <v>488</v>
      </c>
      <c r="J40" s="28" t="s">
        <v>489</v>
      </c>
      <c r="K40" t="s">
        <v>773</v>
      </c>
      <c r="L40" s="1">
        <v>1</v>
      </c>
      <c r="M40">
        <f>IF(RIGHT(XPtbl[[#This Row],[valid]],4)&lt;&gt;"list",0,IFERROR(MATCH(XPtbl[[#This Row],[Context]]&amp;"|"&amp;XPtbl[[#This Row],[Field]],Ltbl[ind],0),IFERROR(MATCH("ALL|"&amp;XPtbl[[#This Row],[Field]],Ltbl[ind],0),-1)))</f>
        <v>0</v>
      </c>
      <c r="N40" t="str" cm="1">
        <f t="array" ref="N40">IF(XPtbl[[#This Row],[listlu]]&lt;1,"",IF(INDEX(Ltbl[Generic],XPtbl[[#This Row],[listlu]])="","",INDEX(Ltbl[RetData],XPtbl[[#This Row],[listlu]])))</f>
        <v/>
      </c>
      <c r="O40">
        <f>IF(AND(XPtbl[[#This Row],[listlu]],ISERROR(FIND(",",XPtbl[[#This Row],[liMatch]])),XPtbl[[#This Row],[liMatch]]&lt;&gt;""),1,0)</f>
        <v>0</v>
      </c>
      <c r="P40">
        <f>IF(AND(XPtbl[[#This Row],[LT]]="Ref",ISNA(MATCH(XPtbl[[#This Row],[Field]],rTbl[Ref],0))),1,0)</f>
        <v>0</v>
      </c>
      <c r="Q40" t="str">
        <f ca="1">IF(ROW()=3,IF(XPtbl[[#This Row],[LT]]="H",XPtbl[[#This Row],[Field]]&amp;"|","|"),IF(XPtbl[[#This Row],[LT]]="H",XPtbl[[#This Row],[Field]]&amp;"|"&amp;OFFSET(XPtbl[[#This Row],[Hierarchy]],-1,0),IF(XPtbl[[#This Row],[LT]]&lt;&gt;"!H",OFFSET(XPtbl[[#This Row],[Hierarchy]],-1,0),RIGHT(OFFSET(XPtbl[[#This Row],[Hierarchy]],-1,0),LEN(OFFSET(XPtbl[[#This Row],[Hierarchy]],-1,0))-LEN(XPtbl[[#This Row],[Field]])-1))))</f>
        <v>Pmetrics|Products|</v>
      </c>
      <c r="R40">
        <f ca="1">FIND("~",SUBSTITUTE(XPtbl[[#This Row],[Hierarchy]],"|","~",1))</f>
        <v>9</v>
      </c>
      <c r="S40">
        <f ca="1">FIND("~",SUBSTITUTE(XPtbl[[#This Row],[Hierarchy]],"|","~",2))</f>
        <v>18</v>
      </c>
      <c r="T40" cm="1">
        <f t="array" ref="T40">IF(XPtbl[[#This Row],[listlu]]=0,0,IF(INDEX(Ltbl[Context],XPtbl[[#This Row],[listlu]],1)="ALL",1,2))</f>
        <v>0</v>
      </c>
      <c r="U40" s="29"/>
    </row>
    <row r="41" spans="1:21">
      <c r="A41" s="15" t="s">
        <v>28</v>
      </c>
      <c r="B41" t="s">
        <v>490</v>
      </c>
      <c r="C41" t="s">
        <v>30</v>
      </c>
      <c r="D41" s="1">
        <v>5</v>
      </c>
      <c r="E41" s="1">
        <v>1</v>
      </c>
      <c r="F41" s="1"/>
      <c r="G41" s="1"/>
      <c r="H41" s="1" t="s">
        <v>56</v>
      </c>
      <c r="I41" s="19" t="s">
        <v>491</v>
      </c>
      <c r="J41" s="28" t="s">
        <v>161</v>
      </c>
      <c r="K41" t="s">
        <v>773</v>
      </c>
      <c r="L41" s="1">
        <v>1</v>
      </c>
      <c r="M41">
        <f>IF(RIGHT(XPtbl[[#This Row],[valid]],4)&lt;&gt;"list",0,IFERROR(MATCH(XPtbl[[#This Row],[Context]]&amp;"|"&amp;XPtbl[[#This Row],[Field]],Ltbl[ind],0),IFERROR(MATCH("ALL|"&amp;XPtbl[[#This Row],[Field]],Ltbl[ind],0),-1)))</f>
        <v>10</v>
      </c>
      <c r="N41" t="str" cm="1">
        <f t="array" ref="N41">IF(XPtbl[[#This Row],[listlu]]&lt;1,"",IF(INDEX(Ltbl[Generic],XPtbl[[#This Row],[listlu]])="","",INDEX(Ltbl[RetData],XPtbl[[#This Row],[listlu]])))</f>
        <v>EACH,INNER,OUTER</v>
      </c>
      <c r="O41">
        <f>IF(AND(XPtbl[[#This Row],[listlu]],ISERROR(FIND(",",XPtbl[[#This Row],[liMatch]])),XPtbl[[#This Row],[liMatch]]&lt;&gt;""),1,0)</f>
        <v>0</v>
      </c>
      <c r="P41">
        <f>IF(AND(XPtbl[[#This Row],[LT]]="Ref",ISNA(MATCH(XPtbl[[#This Row],[Field]],rTbl[Ref],0))),1,0)</f>
        <v>0</v>
      </c>
      <c r="Q41" t="str">
        <f ca="1">IF(ROW()=3,IF(XPtbl[[#This Row],[LT]]="H",XPtbl[[#This Row],[Field]]&amp;"|","|"),IF(XPtbl[[#This Row],[LT]]="H",XPtbl[[#This Row],[Field]]&amp;"|"&amp;OFFSET(XPtbl[[#This Row],[Hierarchy]],-1,0),IF(XPtbl[[#This Row],[LT]]&lt;&gt;"!H",OFFSET(XPtbl[[#This Row],[Hierarchy]],-1,0),RIGHT(OFFSET(XPtbl[[#This Row],[Hierarchy]],-1,0),LEN(OFFSET(XPtbl[[#This Row],[Hierarchy]],-1,0))-LEN(XPtbl[[#This Row],[Field]])-1))))</f>
        <v>Pmetrics|Products|</v>
      </c>
      <c r="R41">
        <f ca="1">FIND("~",SUBSTITUTE(XPtbl[[#This Row],[Hierarchy]],"|","~",1))</f>
        <v>9</v>
      </c>
      <c r="S41">
        <f ca="1">FIND("~",SUBSTITUTE(XPtbl[[#This Row],[Hierarchy]],"|","~",2))</f>
        <v>18</v>
      </c>
      <c r="T41" cm="1">
        <f t="array" ref="T41">IF(XPtbl[[#This Row],[listlu]]=0,0,IF(INDEX(Ltbl[Context],XPtbl[[#This Row],[listlu]],1)="ALL",1,2))</f>
        <v>1</v>
      </c>
      <c r="U41" s="29"/>
    </row>
    <row r="42" spans="1:21">
      <c r="A42" s="15" t="s">
        <v>28</v>
      </c>
      <c r="B42" t="s">
        <v>321</v>
      </c>
      <c r="C42" t="s">
        <v>84</v>
      </c>
      <c r="D42" s="1"/>
      <c r="E42" s="1">
        <v>1</v>
      </c>
      <c r="F42" s="1"/>
      <c r="G42" s="1"/>
      <c r="H42" s="1" t="s">
        <v>215</v>
      </c>
      <c r="I42" s="19" t="s">
        <v>492</v>
      </c>
      <c r="J42" s="28" t="s">
        <v>86</v>
      </c>
      <c r="K42" t="s">
        <v>773</v>
      </c>
      <c r="L42" s="1">
        <v>1</v>
      </c>
      <c r="M42">
        <f>IF(RIGHT(XPtbl[[#This Row],[valid]],4)&lt;&gt;"list",0,IFERROR(MATCH(XPtbl[[#This Row],[Context]]&amp;"|"&amp;XPtbl[[#This Row],[Field]],Ltbl[ind],0),IFERROR(MATCH("ALL|"&amp;XPtbl[[#This Row],[Field]],Ltbl[ind],0),-1)))</f>
        <v>0</v>
      </c>
      <c r="N42" t="str" cm="1">
        <f t="array" ref="N42">IF(XPtbl[[#This Row],[listlu]]&lt;1,"",IF(INDEX(Ltbl[Generic],XPtbl[[#This Row],[listlu]])="","",INDEX(Ltbl[RetData],XPtbl[[#This Row],[listlu]])))</f>
        <v/>
      </c>
      <c r="O42">
        <f>IF(AND(XPtbl[[#This Row],[listlu]],ISERROR(FIND(",",XPtbl[[#This Row],[liMatch]])),XPtbl[[#This Row],[liMatch]]&lt;&gt;""),1,0)</f>
        <v>0</v>
      </c>
      <c r="P42">
        <f>IF(AND(XPtbl[[#This Row],[LT]]="Ref",ISNA(MATCH(XPtbl[[#This Row],[Field]],rTbl[Ref],0))),1,0)</f>
        <v>0</v>
      </c>
      <c r="Q42" t="str">
        <f ca="1">IF(ROW()=3,IF(XPtbl[[#This Row],[LT]]="H",XPtbl[[#This Row],[Field]]&amp;"|","|"),IF(XPtbl[[#This Row],[LT]]="H",XPtbl[[#This Row],[Field]]&amp;"|"&amp;OFFSET(XPtbl[[#This Row],[Hierarchy]],-1,0),IF(XPtbl[[#This Row],[LT]]&lt;&gt;"!H",OFFSET(XPtbl[[#This Row],[Hierarchy]],-1,0),RIGHT(OFFSET(XPtbl[[#This Row],[Hierarchy]],-1,0),LEN(OFFSET(XPtbl[[#This Row],[Hierarchy]],-1,0))-LEN(XPtbl[[#This Row],[Field]])-1))))</f>
        <v>Pmetrics|Products|</v>
      </c>
      <c r="R42">
        <f ca="1">FIND("~",SUBSTITUTE(XPtbl[[#This Row],[Hierarchy]],"|","~",1))</f>
        <v>9</v>
      </c>
      <c r="S42">
        <f ca="1">FIND("~",SUBSTITUTE(XPtbl[[#This Row],[Hierarchy]],"|","~",2))</f>
        <v>18</v>
      </c>
      <c r="T42" cm="1">
        <f t="array" ref="T42">IF(XPtbl[[#This Row],[listlu]]=0,0,IF(INDEX(Ltbl[Context],XPtbl[[#This Row],[listlu]],1)="ALL",1,2))</f>
        <v>0</v>
      </c>
      <c r="U42" s="29"/>
    </row>
    <row r="43" spans="1:21">
      <c r="A43" s="15" t="s">
        <v>28</v>
      </c>
      <c r="B43" t="s">
        <v>493</v>
      </c>
      <c r="C43" t="s">
        <v>30</v>
      </c>
      <c r="D43" s="1">
        <v>20</v>
      </c>
      <c r="E43" s="1" t="s">
        <v>385</v>
      </c>
      <c r="F43" s="1"/>
      <c r="G43" s="1"/>
      <c r="H43" s="1"/>
      <c r="I43" s="19" t="s">
        <v>494</v>
      </c>
      <c r="J43" s="28" t="s">
        <v>495</v>
      </c>
      <c r="K43" t="s">
        <v>773</v>
      </c>
      <c r="L43" s="1">
        <v>1</v>
      </c>
      <c r="M43">
        <f>IF(RIGHT(XPtbl[[#This Row],[valid]],4)&lt;&gt;"list",0,IFERROR(MATCH(XPtbl[[#This Row],[Context]]&amp;"|"&amp;XPtbl[[#This Row],[Field]],Ltbl[ind],0),IFERROR(MATCH("ALL|"&amp;XPtbl[[#This Row],[Field]],Ltbl[ind],0),-1)))</f>
        <v>0</v>
      </c>
      <c r="N43" t="str" cm="1">
        <f t="array" ref="N43">IF(XPtbl[[#This Row],[listlu]]&lt;1,"",IF(INDEX(Ltbl[Generic],XPtbl[[#This Row],[listlu]])="","",INDEX(Ltbl[RetData],XPtbl[[#This Row],[listlu]])))</f>
        <v/>
      </c>
      <c r="O43">
        <f>IF(AND(XPtbl[[#This Row],[listlu]],ISERROR(FIND(",",XPtbl[[#This Row],[liMatch]])),XPtbl[[#This Row],[liMatch]]&lt;&gt;""),1,0)</f>
        <v>0</v>
      </c>
      <c r="P43">
        <f>IF(AND(XPtbl[[#This Row],[LT]]="Ref",ISNA(MATCH(XPtbl[[#This Row],[Field]],rTbl[Ref],0))),1,0)</f>
        <v>0</v>
      </c>
      <c r="Q43" t="str">
        <f ca="1">IF(ROW()=3,IF(XPtbl[[#This Row],[LT]]="H",XPtbl[[#This Row],[Field]]&amp;"|","|"),IF(XPtbl[[#This Row],[LT]]="H",XPtbl[[#This Row],[Field]]&amp;"|"&amp;OFFSET(XPtbl[[#This Row],[Hierarchy]],-1,0),IF(XPtbl[[#This Row],[LT]]&lt;&gt;"!H",OFFSET(XPtbl[[#This Row],[Hierarchy]],-1,0),RIGHT(OFFSET(XPtbl[[#This Row],[Hierarchy]],-1,0),LEN(OFFSET(XPtbl[[#This Row],[Hierarchy]],-1,0))-LEN(XPtbl[[#This Row],[Field]])-1))))</f>
        <v>Pmetrics|Products|</v>
      </c>
      <c r="R43">
        <f ca="1">FIND("~",SUBSTITUTE(XPtbl[[#This Row],[Hierarchy]],"|","~",1))</f>
        <v>9</v>
      </c>
      <c r="S43">
        <f ca="1">FIND("~",SUBSTITUTE(XPtbl[[#This Row],[Hierarchy]],"|","~",2))</f>
        <v>18</v>
      </c>
      <c r="T43" cm="1">
        <f t="array" ref="T43">IF(XPtbl[[#This Row],[listlu]]=0,0,IF(INDEX(Ltbl[Context],XPtbl[[#This Row],[listlu]],1)="ALL",1,2))</f>
        <v>0</v>
      </c>
      <c r="U43" s="29"/>
    </row>
    <row r="44" spans="1:21">
      <c r="A44" s="15" t="s">
        <v>28</v>
      </c>
      <c r="B44" t="s">
        <v>259</v>
      </c>
      <c r="C44" t="s">
        <v>133</v>
      </c>
      <c r="D44" s="1"/>
      <c r="E44" s="1">
        <v>0</v>
      </c>
      <c r="F44" s="1"/>
      <c r="G44" s="1"/>
      <c r="H44" s="1"/>
      <c r="I44" s="19" t="s">
        <v>260</v>
      </c>
      <c r="J44" s="28" t="s">
        <v>496</v>
      </c>
      <c r="K44" t="s">
        <v>773</v>
      </c>
      <c r="L44" s="1">
        <v>1</v>
      </c>
      <c r="M44">
        <f>IF(RIGHT(XPtbl[[#This Row],[valid]],4)&lt;&gt;"list",0,IFERROR(MATCH(XPtbl[[#This Row],[Context]]&amp;"|"&amp;XPtbl[[#This Row],[Field]],Ltbl[ind],0),IFERROR(MATCH("ALL|"&amp;XPtbl[[#This Row],[Field]],Ltbl[ind],0),-1)))</f>
        <v>0</v>
      </c>
      <c r="N44" t="str" cm="1">
        <f t="array" ref="N44">IF(XPtbl[[#This Row],[listlu]]&lt;1,"",IF(INDEX(Ltbl[Generic],XPtbl[[#This Row],[listlu]])="","",INDEX(Ltbl[RetData],XPtbl[[#This Row],[listlu]])))</f>
        <v/>
      </c>
      <c r="O44">
        <f>IF(AND(XPtbl[[#This Row],[listlu]],ISERROR(FIND(",",XPtbl[[#This Row],[liMatch]])),XPtbl[[#This Row],[liMatch]]&lt;&gt;""),1,0)</f>
        <v>0</v>
      </c>
      <c r="P44">
        <f>IF(AND(XPtbl[[#This Row],[LT]]="Ref",ISNA(MATCH(XPtbl[[#This Row],[Field]],rTbl[Ref],0))),1,0)</f>
        <v>0</v>
      </c>
      <c r="Q44" t="str">
        <f ca="1">IF(ROW()=3,IF(XPtbl[[#This Row],[LT]]="H",XPtbl[[#This Row],[Field]]&amp;"|","|"),IF(XPtbl[[#This Row],[LT]]="H",XPtbl[[#This Row],[Field]]&amp;"|"&amp;OFFSET(XPtbl[[#This Row],[Hierarchy]],-1,0),IF(XPtbl[[#This Row],[LT]]&lt;&gt;"!H",OFFSET(XPtbl[[#This Row],[Hierarchy]],-1,0),RIGHT(OFFSET(XPtbl[[#This Row],[Hierarchy]],-1,0),LEN(OFFSET(XPtbl[[#This Row],[Hierarchy]],-1,0))-LEN(XPtbl[[#This Row],[Field]])-1))))</f>
        <v>Pmetrics|Products|</v>
      </c>
      <c r="R44">
        <f ca="1">FIND("~",SUBSTITUTE(XPtbl[[#This Row],[Hierarchy]],"|","~",1))</f>
        <v>9</v>
      </c>
      <c r="S44">
        <f ca="1">FIND("~",SUBSTITUTE(XPtbl[[#This Row],[Hierarchy]],"|","~",2))</f>
        <v>18</v>
      </c>
      <c r="T44" cm="1">
        <f t="array" ref="T44">IF(XPtbl[[#This Row],[listlu]]=0,0,IF(INDEX(Ltbl[Context],XPtbl[[#This Row],[listlu]],1)="ALL",1,2))</f>
        <v>0</v>
      </c>
      <c r="U44" s="29"/>
    </row>
    <row r="45" spans="1:21">
      <c r="A45" s="15" t="s">
        <v>28</v>
      </c>
      <c r="B45" t="s">
        <v>265</v>
      </c>
      <c r="C45" t="s">
        <v>133</v>
      </c>
      <c r="D45" s="1"/>
      <c r="E45" s="1">
        <v>0</v>
      </c>
      <c r="F45" s="1"/>
      <c r="G45" s="1"/>
      <c r="H45" s="1"/>
      <c r="I45" s="19" t="s">
        <v>266</v>
      </c>
      <c r="J45" s="28">
        <v>2.5</v>
      </c>
      <c r="K45" t="s">
        <v>773</v>
      </c>
      <c r="L45" s="1">
        <v>1</v>
      </c>
      <c r="M45">
        <f>IF(RIGHT(XPtbl[[#This Row],[valid]],4)&lt;&gt;"list",0,IFERROR(MATCH(XPtbl[[#This Row],[Context]]&amp;"|"&amp;XPtbl[[#This Row],[Field]],Ltbl[ind],0),IFERROR(MATCH("ALL|"&amp;XPtbl[[#This Row],[Field]],Ltbl[ind],0),-1)))</f>
        <v>0</v>
      </c>
      <c r="N45" t="str" cm="1">
        <f t="array" ref="N45">IF(XPtbl[[#This Row],[listlu]]&lt;1,"",IF(INDEX(Ltbl[Generic],XPtbl[[#This Row],[listlu]])="","",INDEX(Ltbl[RetData],XPtbl[[#This Row],[listlu]])))</f>
        <v/>
      </c>
      <c r="O45">
        <f>IF(AND(XPtbl[[#This Row],[listlu]],ISERROR(FIND(",",XPtbl[[#This Row],[liMatch]])),XPtbl[[#This Row],[liMatch]]&lt;&gt;""),1,0)</f>
        <v>0</v>
      </c>
      <c r="P45">
        <f>IF(AND(XPtbl[[#This Row],[LT]]="Ref",ISNA(MATCH(XPtbl[[#This Row],[Field]],rTbl[Ref],0))),1,0)</f>
        <v>0</v>
      </c>
      <c r="Q45" t="str">
        <f ca="1">IF(ROW()=3,IF(XPtbl[[#This Row],[LT]]="H",XPtbl[[#This Row],[Field]]&amp;"|","|"),IF(XPtbl[[#This Row],[LT]]="H",XPtbl[[#This Row],[Field]]&amp;"|"&amp;OFFSET(XPtbl[[#This Row],[Hierarchy]],-1,0),IF(XPtbl[[#This Row],[LT]]&lt;&gt;"!H",OFFSET(XPtbl[[#This Row],[Hierarchy]],-1,0),RIGHT(OFFSET(XPtbl[[#This Row],[Hierarchy]],-1,0),LEN(OFFSET(XPtbl[[#This Row],[Hierarchy]],-1,0))-LEN(XPtbl[[#This Row],[Field]])-1))))</f>
        <v>Pmetrics|Products|</v>
      </c>
      <c r="R45">
        <f ca="1">FIND("~",SUBSTITUTE(XPtbl[[#This Row],[Hierarchy]],"|","~",1))</f>
        <v>9</v>
      </c>
      <c r="S45">
        <f ca="1">FIND("~",SUBSTITUTE(XPtbl[[#This Row],[Hierarchy]],"|","~",2))</f>
        <v>18</v>
      </c>
      <c r="T45" cm="1">
        <f t="array" ref="T45">IF(XPtbl[[#This Row],[listlu]]=0,0,IF(INDEX(Ltbl[Context],XPtbl[[#This Row],[listlu]],1)="ALL",1,2))</f>
        <v>0</v>
      </c>
      <c r="U45" s="29"/>
    </row>
    <row r="46" spans="1:21">
      <c r="A46" s="15" t="s">
        <v>28</v>
      </c>
      <c r="B46" t="s">
        <v>262</v>
      </c>
      <c r="C46" t="s">
        <v>133</v>
      </c>
      <c r="D46" s="1"/>
      <c r="E46" s="1">
        <v>0</v>
      </c>
      <c r="F46" s="1"/>
      <c r="G46" s="1"/>
      <c r="H46" s="1"/>
      <c r="I46" s="19" t="s">
        <v>263</v>
      </c>
      <c r="J46" s="28">
        <v>4.24</v>
      </c>
      <c r="K46" t="s">
        <v>773</v>
      </c>
      <c r="L46" s="1">
        <v>1</v>
      </c>
      <c r="M46">
        <f>IF(RIGHT(XPtbl[[#This Row],[valid]],4)&lt;&gt;"list",0,IFERROR(MATCH(XPtbl[[#This Row],[Context]]&amp;"|"&amp;XPtbl[[#This Row],[Field]],Ltbl[ind],0),IFERROR(MATCH("ALL|"&amp;XPtbl[[#This Row],[Field]],Ltbl[ind],0),-1)))</f>
        <v>0</v>
      </c>
      <c r="N46" t="str" cm="1">
        <f t="array" ref="N46">IF(XPtbl[[#This Row],[listlu]]&lt;1,"",IF(INDEX(Ltbl[Generic],XPtbl[[#This Row],[listlu]])="","",INDEX(Ltbl[RetData],XPtbl[[#This Row],[listlu]])))</f>
        <v/>
      </c>
      <c r="O46">
        <f>IF(AND(XPtbl[[#This Row],[listlu]],ISERROR(FIND(",",XPtbl[[#This Row],[liMatch]])),XPtbl[[#This Row],[liMatch]]&lt;&gt;""),1,0)</f>
        <v>0</v>
      </c>
      <c r="P46">
        <f>IF(AND(XPtbl[[#This Row],[LT]]="Ref",ISNA(MATCH(XPtbl[[#This Row],[Field]],rTbl[Ref],0))),1,0)</f>
        <v>0</v>
      </c>
      <c r="Q46" t="str">
        <f ca="1">IF(ROW()=3,IF(XPtbl[[#This Row],[LT]]="H",XPtbl[[#This Row],[Field]]&amp;"|","|"),IF(XPtbl[[#This Row],[LT]]="H",XPtbl[[#This Row],[Field]]&amp;"|"&amp;OFFSET(XPtbl[[#This Row],[Hierarchy]],-1,0),IF(XPtbl[[#This Row],[LT]]&lt;&gt;"!H",OFFSET(XPtbl[[#This Row],[Hierarchy]],-1,0),RIGHT(OFFSET(XPtbl[[#This Row],[Hierarchy]],-1,0),LEN(OFFSET(XPtbl[[#This Row],[Hierarchy]],-1,0))-LEN(XPtbl[[#This Row],[Field]])-1))))</f>
        <v>Pmetrics|Products|</v>
      </c>
      <c r="R46">
        <f ca="1">FIND("~",SUBSTITUTE(XPtbl[[#This Row],[Hierarchy]],"|","~",1))</f>
        <v>9</v>
      </c>
      <c r="S46">
        <f ca="1">FIND("~",SUBSTITUTE(XPtbl[[#This Row],[Hierarchy]],"|","~",2))</f>
        <v>18</v>
      </c>
      <c r="T46" cm="1">
        <f t="array" ref="T46">IF(XPtbl[[#This Row],[listlu]]=0,0,IF(INDEX(Ltbl[Context],XPtbl[[#This Row],[listlu]],1)="ALL",1,2))</f>
        <v>0</v>
      </c>
      <c r="U46" s="29"/>
    </row>
    <row r="47" spans="1:21">
      <c r="A47" s="15" t="s">
        <v>28</v>
      </c>
      <c r="B47" t="s">
        <v>497</v>
      </c>
      <c r="C47" t="s">
        <v>133</v>
      </c>
      <c r="D47" s="1"/>
      <c r="E47" s="1">
        <v>0</v>
      </c>
      <c r="F47" s="1"/>
      <c r="G47" s="1"/>
      <c r="H47" s="1"/>
      <c r="I47" s="19" t="s">
        <v>498</v>
      </c>
      <c r="J47" s="28" t="s">
        <v>499</v>
      </c>
      <c r="K47" t="s">
        <v>773</v>
      </c>
      <c r="L47" s="1">
        <v>1</v>
      </c>
      <c r="M47">
        <f>IF(RIGHT(XPtbl[[#This Row],[valid]],4)&lt;&gt;"list",0,IFERROR(MATCH(XPtbl[[#This Row],[Context]]&amp;"|"&amp;XPtbl[[#This Row],[Field]],Ltbl[ind],0),IFERROR(MATCH("ALL|"&amp;XPtbl[[#This Row],[Field]],Ltbl[ind],0),-1)))</f>
        <v>0</v>
      </c>
      <c r="N47" t="str" cm="1">
        <f t="array" ref="N47">IF(XPtbl[[#This Row],[listlu]]&lt;1,"",IF(INDEX(Ltbl[Generic],XPtbl[[#This Row],[listlu]])="","",INDEX(Ltbl[RetData],XPtbl[[#This Row],[listlu]])))</f>
        <v/>
      </c>
      <c r="O47">
        <f>IF(AND(XPtbl[[#This Row],[listlu]],ISERROR(FIND(",",XPtbl[[#This Row],[liMatch]])),XPtbl[[#This Row],[liMatch]]&lt;&gt;""),1,0)</f>
        <v>0</v>
      </c>
      <c r="P47">
        <f>IF(AND(XPtbl[[#This Row],[LT]]="Ref",ISNA(MATCH(XPtbl[[#This Row],[Field]],rTbl[Ref],0))),1,0)</f>
        <v>0</v>
      </c>
      <c r="Q47" t="str">
        <f ca="1">IF(ROW()=3,IF(XPtbl[[#This Row],[LT]]="H",XPtbl[[#This Row],[Field]]&amp;"|","|"),IF(XPtbl[[#This Row],[LT]]="H",XPtbl[[#This Row],[Field]]&amp;"|"&amp;OFFSET(XPtbl[[#This Row],[Hierarchy]],-1,0),IF(XPtbl[[#This Row],[LT]]&lt;&gt;"!H",OFFSET(XPtbl[[#This Row],[Hierarchy]],-1,0),RIGHT(OFFSET(XPtbl[[#This Row],[Hierarchy]],-1,0),LEN(OFFSET(XPtbl[[#This Row],[Hierarchy]],-1,0))-LEN(XPtbl[[#This Row],[Field]])-1))))</f>
        <v>Pmetrics|Products|</v>
      </c>
      <c r="R47">
        <f ca="1">FIND("~",SUBSTITUTE(XPtbl[[#This Row],[Hierarchy]],"|","~",1))</f>
        <v>9</v>
      </c>
      <c r="S47">
        <f ca="1">FIND("~",SUBSTITUTE(XPtbl[[#This Row],[Hierarchy]],"|","~",2))</f>
        <v>18</v>
      </c>
      <c r="T47" cm="1">
        <f t="array" ref="T47">IF(XPtbl[[#This Row],[listlu]]=0,0,IF(INDEX(Ltbl[Context],XPtbl[[#This Row],[listlu]],1)="ALL",1,2))</f>
        <v>0</v>
      </c>
      <c r="U47" s="29"/>
    </row>
    <row r="48" spans="1:21">
      <c r="A48" s="15" t="s">
        <v>28</v>
      </c>
      <c r="B48" t="s">
        <v>500</v>
      </c>
      <c r="C48" t="s">
        <v>133</v>
      </c>
      <c r="D48" s="1"/>
      <c r="E48" s="1">
        <v>0</v>
      </c>
      <c r="F48" s="1"/>
      <c r="G48" s="1"/>
      <c r="H48" s="1"/>
      <c r="I48" s="19" t="s">
        <v>501</v>
      </c>
      <c r="J48" s="28" t="s">
        <v>502</v>
      </c>
      <c r="K48" t="s">
        <v>773</v>
      </c>
      <c r="L48" s="1">
        <v>1</v>
      </c>
      <c r="M48">
        <f>IF(RIGHT(XPtbl[[#This Row],[valid]],4)&lt;&gt;"list",0,IFERROR(MATCH(XPtbl[[#This Row],[Context]]&amp;"|"&amp;XPtbl[[#This Row],[Field]],Ltbl[ind],0),IFERROR(MATCH("ALL|"&amp;XPtbl[[#This Row],[Field]],Ltbl[ind],0),-1)))</f>
        <v>0</v>
      </c>
      <c r="N48" t="str" cm="1">
        <f t="array" ref="N48">IF(XPtbl[[#This Row],[listlu]]&lt;1,"",IF(INDEX(Ltbl[Generic],XPtbl[[#This Row],[listlu]])="","",INDEX(Ltbl[RetData],XPtbl[[#This Row],[listlu]])))</f>
        <v/>
      </c>
      <c r="O48">
        <f>IF(AND(XPtbl[[#This Row],[listlu]],ISERROR(FIND(",",XPtbl[[#This Row],[liMatch]])),XPtbl[[#This Row],[liMatch]]&lt;&gt;""),1,0)</f>
        <v>0</v>
      </c>
      <c r="P48">
        <f>IF(AND(XPtbl[[#This Row],[LT]]="Ref",ISNA(MATCH(XPtbl[[#This Row],[Field]],rTbl[Ref],0))),1,0)</f>
        <v>0</v>
      </c>
      <c r="Q48" t="str">
        <f ca="1">IF(ROW()=3,IF(XPtbl[[#This Row],[LT]]="H",XPtbl[[#This Row],[Field]]&amp;"|","|"),IF(XPtbl[[#This Row],[LT]]="H",XPtbl[[#This Row],[Field]]&amp;"|"&amp;OFFSET(XPtbl[[#This Row],[Hierarchy]],-1,0),IF(XPtbl[[#This Row],[LT]]&lt;&gt;"!H",OFFSET(XPtbl[[#This Row],[Hierarchy]],-1,0),RIGHT(OFFSET(XPtbl[[#This Row],[Hierarchy]],-1,0),LEN(OFFSET(XPtbl[[#This Row],[Hierarchy]],-1,0))-LEN(XPtbl[[#This Row],[Field]])-1))))</f>
        <v>Pmetrics|Products|</v>
      </c>
      <c r="R48">
        <f ca="1">FIND("~",SUBSTITUTE(XPtbl[[#This Row],[Hierarchy]],"|","~",1))</f>
        <v>9</v>
      </c>
      <c r="S48">
        <f ca="1">FIND("~",SUBSTITUTE(XPtbl[[#This Row],[Hierarchy]],"|","~",2))</f>
        <v>18</v>
      </c>
      <c r="T48" cm="1">
        <f t="array" ref="T48">IF(XPtbl[[#This Row],[listlu]]=0,0,IF(INDEX(Ltbl[Context],XPtbl[[#This Row],[listlu]],1)="ALL",1,2))</f>
        <v>0</v>
      </c>
      <c r="U48" s="29"/>
    </row>
    <row r="49" spans="1:21">
      <c r="A49" s="15" t="s">
        <v>177</v>
      </c>
      <c r="B49" t="s">
        <v>503</v>
      </c>
      <c r="D49" s="1"/>
      <c r="E49" s="1"/>
      <c r="F49" s="1"/>
      <c r="G49" s="1"/>
      <c r="H49" s="1"/>
      <c r="I49" s="19"/>
      <c r="J49" s="28"/>
      <c r="K49" t="s">
        <v>365</v>
      </c>
      <c r="L49" s="1">
        <v>0</v>
      </c>
      <c r="M49">
        <f>IF(RIGHT(XPtbl[[#This Row],[valid]],4)&lt;&gt;"list",0,IFERROR(MATCH(XPtbl[[#This Row],[Context]]&amp;"|"&amp;XPtbl[[#This Row],[Field]],Ltbl[ind],0),IFERROR(MATCH("ALL|"&amp;XPtbl[[#This Row],[Field]],Ltbl[ind],0),-1)))</f>
        <v>0</v>
      </c>
      <c r="N49" t="str" cm="1">
        <f t="array" ref="N49">IF(XPtbl[[#This Row],[listlu]]&lt;1,"",IF(INDEX(Ltbl[Generic],XPtbl[[#This Row],[listlu]])="","",INDEX(Ltbl[RetData],XPtbl[[#This Row],[listlu]])))</f>
        <v/>
      </c>
      <c r="O49">
        <f>IF(AND(XPtbl[[#This Row],[listlu]],ISERROR(FIND(",",XPtbl[[#This Row],[liMatch]])),XPtbl[[#This Row],[liMatch]]&lt;&gt;""),1,0)</f>
        <v>0</v>
      </c>
      <c r="P49">
        <f>IF(AND(XPtbl[[#This Row],[LT]]="Ref",ISNA(MATCH(XPtbl[[#This Row],[Field]],rTbl[Ref],0))),1,0)</f>
        <v>0</v>
      </c>
      <c r="Q49" t="str">
        <f ca="1">IF(ROW()=3,IF(XPtbl[[#This Row],[LT]]="H",XPtbl[[#This Row],[Field]]&amp;"|","|"),IF(XPtbl[[#This Row],[LT]]="H",XPtbl[[#This Row],[Field]]&amp;"|"&amp;OFFSET(XPtbl[[#This Row],[Hierarchy]],-1,0),IF(XPtbl[[#This Row],[LT]]&lt;&gt;"!H",OFFSET(XPtbl[[#This Row],[Hierarchy]],-1,0),RIGHT(OFFSET(XPtbl[[#This Row],[Hierarchy]],-1,0),LEN(OFFSET(XPtbl[[#This Row],[Hierarchy]],-1,0))-LEN(XPtbl[[#This Row],[Field]])-1))))</f>
        <v>Products|</v>
      </c>
      <c r="R49">
        <f ca="1">FIND("~",SUBSTITUTE(XPtbl[[#This Row],[Hierarchy]],"|","~",1))</f>
        <v>9</v>
      </c>
      <c r="S49" t="e">
        <f ca="1">FIND("~",SUBSTITUTE(XPtbl[[#This Row],[Hierarchy]],"|","~",2))</f>
        <v>#VALUE!</v>
      </c>
      <c r="T49" cm="1">
        <f t="array" ref="T49">IF(XPtbl[[#This Row],[listlu]]=0,0,IF(INDEX(Ltbl[Context],XPtbl[[#This Row],[listlu]],1)="ALL",1,2))</f>
        <v>0</v>
      </c>
      <c r="U49" s="29"/>
    </row>
    <row r="50" spans="1:21">
      <c r="A50" s="15" t="s">
        <v>177</v>
      </c>
      <c r="B50" t="s">
        <v>365</v>
      </c>
      <c r="D50" s="1"/>
      <c r="E50" s="1"/>
      <c r="F50" s="1"/>
      <c r="G50" s="1"/>
      <c r="H50" s="1"/>
      <c r="I50" s="19"/>
      <c r="J50" s="28"/>
      <c r="K50" t="s">
        <v>770</v>
      </c>
      <c r="L50" s="1">
        <v>0</v>
      </c>
      <c r="M50">
        <f>IF(RIGHT(XPtbl[[#This Row],[valid]],4)&lt;&gt;"list",0,IFERROR(MATCH(XPtbl[[#This Row],[Context]]&amp;"|"&amp;XPtbl[[#This Row],[Field]],Ltbl[ind],0),IFERROR(MATCH("ALL|"&amp;XPtbl[[#This Row],[Field]],Ltbl[ind],0),-1)))</f>
        <v>0</v>
      </c>
      <c r="N50" t="str" cm="1">
        <f t="array" ref="N50">IF(XPtbl[[#This Row],[listlu]]&lt;1,"",IF(INDEX(Ltbl[Generic],XPtbl[[#This Row],[listlu]])="","",INDEX(Ltbl[RetData],XPtbl[[#This Row],[listlu]])))</f>
        <v/>
      </c>
      <c r="O50">
        <f>IF(AND(XPtbl[[#This Row],[listlu]],ISERROR(FIND(",",XPtbl[[#This Row],[liMatch]])),XPtbl[[#This Row],[liMatch]]&lt;&gt;""),1,0)</f>
        <v>0</v>
      </c>
      <c r="P50">
        <f>IF(AND(XPtbl[[#This Row],[LT]]="Ref",ISNA(MATCH(XPtbl[[#This Row],[Field]],rTbl[Ref],0))),1,0)</f>
        <v>0</v>
      </c>
      <c r="Q50" t="str">
        <f ca="1">IF(ROW()=3,IF(XPtbl[[#This Row],[LT]]="H",XPtbl[[#This Row],[Field]]&amp;"|","|"),IF(XPtbl[[#This Row],[LT]]="H",XPtbl[[#This Row],[Field]]&amp;"|"&amp;OFFSET(XPtbl[[#This Row],[Hierarchy]],-1,0),IF(XPtbl[[#This Row],[LT]]&lt;&gt;"!H",OFFSET(XPtbl[[#This Row],[Hierarchy]],-1,0),RIGHT(OFFSET(XPtbl[[#This Row],[Hierarchy]],-1,0),LEN(OFFSET(XPtbl[[#This Row],[Hierarchy]],-1,0))-LEN(XPtbl[[#This Row],[Field]])-1))))</f>
        <v/>
      </c>
      <c r="R50" t="e">
        <f ca="1">FIND("~",SUBSTITUTE(XPtbl[[#This Row],[Hierarchy]],"|","~",1))</f>
        <v>#VALUE!</v>
      </c>
      <c r="S50" t="e">
        <f ca="1">FIND("~",SUBSTITUTE(XPtbl[[#This Row],[Hierarchy]],"|","~",2))</f>
        <v>#VALUE!</v>
      </c>
      <c r="T50" cm="1">
        <f t="array" ref="T50">IF(XPtbl[[#This Row],[listlu]]=0,0,IF(INDEX(Ltbl[Context],XPtbl[[#This Row],[listlu]],1)="ALL",1,2))</f>
        <v>0</v>
      </c>
      <c r="U50" s="29"/>
    </row>
  </sheetData>
  <conditionalFormatting sqref="A3:L50">
    <cfRule type="expression" dxfId="42" priority="10">
      <formula>($A3="!H")</formula>
    </cfRule>
    <cfRule type="expression" dxfId="41" priority="11">
      <formula>($A3="REF")</formula>
    </cfRule>
    <cfRule type="expression" dxfId="40" priority="12">
      <formula>($A3="C")</formula>
    </cfRule>
    <cfRule type="expression" dxfId="39" priority="13">
      <formula>($A3="H")</formula>
    </cfRule>
  </conditionalFormatting>
  <conditionalFormatting sqref="K3:K50">
    <cfRule type="expression" dxfId="38" priority="8">
      <formula>($A3="C")</formula>
    </cfRule>
    <cfRule type="expression" dxfId="37" priority="9">
      <formula>($A3="")</formula>
    </cfRule>
  </conditionalFormatting>
  <conditionalFormatting sqref="A3:A50">
    <cfRule type="expression" dxfId="36" priority="7">
      <formula>NOT(OR(A3="",A3="H",A3="E",A3="C",A3="!H",A3="Ref"))</formula>
    </cfRule>
  </conditionalFormatting>
  <conditionalFormatting sqref="H3:H50 J3:J50">
    <cfRule type="expression" dxfId="35" priority="6">
      <formula>($O3)</formula>
    </cfRule>
  </conditionalFormatting>
  <conditionalFormatting sqref="H3:H50">
    <cfRule type="expression" dxfId="34" priority="14">
      <formula>AND($M3&gt;0,$N3&lt;&gt;$J3)</formula>
    </cfRule>
    <cfRule type="expression" dxfId="33" priority="15">
      <formula>AND($M3&gt;0,$N3=$J3)</formula>
    </cfRule>
    <cfRule type="expression" dxfId="32" priority="16">
      <formula>($M3=-1)</formula>
    </cfRule>
  </conditionalFormatting>
  <conditionalFormatting sqref="J3:J50">
    <cfRule type="expression" dxfId="31" priority="2">
      <formula>AND(M3&gt;0,N3&lt;&gt;J3)</formula>
    </cfRule>
    <cfRule type="expression" dxfId="30" priority="17">
      <formula>AND($A3="E",$E3&lt;&gt;1)</formula>
    </cfRule>
  </conditionalFormatting>
  <conditionalFormatting sqref="G3:G50">
    <cfRule type="expression" dxfId="29" priority="3">
      <formula>($T3=2)</formula>
    </cfRule>
    <cfRule type="expression" dxfId="28" priority="4">
      <formula>($T3=1)</formula>
    </cfRule>
  </conditionalFormatting>
  <conditionalFormatting sqref="B3:B50">
    <cfRule type="expression" dxfId="27" priority="112">
      <formula>$P3</formula>
    </cfRule>
    <cfRule type="expression" dxfId="26" priority="113">
      <formula>AND($A3="E",$E3=1)</formula>
    </cfRule>
  </conditionalFormatting>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C7BF2-1066-413C-8C88-BB4D1E1BF8D1}">
  <sheetPr codeName="Sheet17">
    <tabColor rgb="FF002060"/>
  </sheetPr>
  <dimension ref="B2:D12"/>
  <sheetViews>
    <sheetView workbookViewId="0">
      <selection activeCell="D15" sqref="D15"/>
    </sheetView>
  </sheetViews>
  <sheetFormatPr defaultRowHeight="15"/>
  <cols>
    <col min="2" max="2" width="15.140625" customWidth="1"/>
    <col min="3" max="3" width="15.28515625" customWidth="1"/>
    <col min="4" max="4" width="74.28515625" customWidth="1"/>
    <col min="8" max="8" width="18.28515625" customWidth="1"/>
  </cols>
  <sheetData>
    <row r="2" spans="2:4">
      <c r="B2" t="s">
        <v>774</v>
      </c>
      <c r="C2" s="34">
        <f>MAX(Table12[Version])</f>
        <v>1.2</v>
      </c>
    </row>
    <row r="3" spans="2:4">
      <c r="B3" t="s">
        <v>775</v>
      </c>
      <c r="C3" t="s">
        <v>94</v>
      </c>
      <c r="D3" t="s">
        <v>8</v>
      </c>
    </row>
    <row r="4" spans="2:4" ht="45">
      <c r="B4" s="35">
        <v>1</v>
      </c>
      <c r="C4" s="36">
        <v>44622</v>
      </c>
      <c r="D4" s="42" t="s">
        <v>776</v>
      </c>
    </row>
    <row r="5" spans="2:4">
      <c r="B5" s="35">
        <v>1.1000000000000001</v>
      </c>
      <c r="C5" s="36">
        <v>44624</v>
      </c>
      <c r="D5" s="37" t="s">
        <v>777</v>
      </c>
    </row>
    <row r="6" spans="2:4" ht="90">
      <c r="B6" s="35">
        <v>1.2</v>
      </c>
      <c r="C6" s="36">
        <v>44649</v>
      </c>
      <c r="D6" s="42" t="s">
        <v>778</v>
      </c>
    </row>
    <row r="7" spans="2:4">
      <c r="B7" s="35"/>
      <c r="C7" s="36"/>
      <c r="D7" s="37"/>
    </row>
    <row r="8" spans="2:4">
      <c r="B8" s="35"/>
      <c r="C8" s="36"/>
      <c r="D8" s="37"/>
    </row>
    <row r="9" spans="2:4">
      <c r="B9" s="35"/>
      <c r="C9" s="36"/>
      <c r="D9" s="37"/>
    </row>
    <row r="10" spans="2:4">
      <c r="B10" s="35"/>
      <c r="C10" s="36"/>
      <c r="D10" s="37"/>
    </row>
    <row r="11" spans="2:4">
      <c r="B11" s="35"/>
      <c r="C11" s="36"/>
      <c r="D11" s="37"/>
    </row>
    <row r="12" spans="2:4">
      <c r="B12" s="35"/>
      <c r="C12" s="36"/>
      <c r="D12" s="37"/>
    </row>
  </sheetData>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4C812-BCE6-4AF1-8728-E829D6255D1A}">
  <sheetPr codeName="Sheet8">
    <tabColor rgb="FF002060"/>
  </sheetPr>
  <dimension ref="B2:D12"/>
  <sheetViews>
    <sheetView workbookViewId="0">
      <selection activeCell="E7" sqref="E7"/>
    </sheetView>
  </sheetViews>
  <sheetFormatPr defaultRowHeight="15"/>
  <cols>
    <col min="2" max="2" width="15.5703125" customWidth="1"/>
  </cols>
  <sheetData>
    <row r="2" spans="2:4">
      <c r="B2" t="s">
        <v>779</v>
      </c>
    </row>
    <row r="4" spans="2:4">
      <c r="B4" s="38"/>
      <c r="D4" t="s">
        <v>780</v>
      </c>
    </row>
    <row r="6" spans="2:4">
      <c r="B6" s="39"/>
      <c r="D6" t="s">
        <v>781</v>
      </c>
    </row>
    <row r="8" spans="2:4">
      <c r="B8" s="33"/>
      <c r="D8" t="s">
        <v>782</v>
      </c>
    </row>
    <row r="10" spans="2:4">
      <c r="B10" s="40"/>
      <c r="D10" t="s">
        <v>783</v>
      </c>
    </row>
    <row r="12" spans="2:4">
      <c r="B12" s="41"/>
      <c r="D12" t="s">
        <v>784</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6073ef55-9ce8-42ae-b502-5b3ff9af70e2">
      <Terms xmlns="http://schemas.microsoft.com/office/infopath/2007/PartnerControls"/>
    </lcf76f155ced4ddcb4097134ff3c332f>
    <TaxCatchAll xmlns="1ee2190a-2873-456b-895d-0662ff46568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1DA97A43089CE4C98F539FA872F453F" ma:contentTypeVersion="15" ma:contentTypeDescription="Create a new document." ma:contentTypeScope="" ma:versionID="7e0407a21caa74e5292f235a0cd80b8b">
  <xsd:schema xmlns:xsd="http://www.w3.org/2001/XMLSchema" xmlns:xs="http://www.w3.org/2001/XMLSchema" xmlns:p="http://schemas.microsoft.com/office/2006/metadata/properties" xmlns:ns2="6073ef55-9ce8-42ae-b502-5b3ff9af70e2" xmlns:ns3="1ee2190a-2873-456b-895d-0662ff465686" targetNamespace="http://schemas.microsoft.com/office/2006/metadata/properties" ma:root="true" ma:fieldsID="40d99256e9dc8d348a068ac1436addf8" ns2:_="" ns3:_="">
    <xsd:import namespace="6073ef55-9ce8-42ae-b502-5b3ff9af70e2"/>
    <xsd:import namespace="1ee2190a-2873-456b-895d-0662ff46568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AutoKeyPoints" minOccurs="0"/>
                <xsd:element ref="ns2:MediaServiceKeyPoint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073ef55-9ce8-42ae-b502-5b3ff9af70e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2a834fb9-082a-4b73-be3f-0dedbf94359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ee2190a-2873-456b-895d-0662ff46568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33173c47-a45e-4f37-aaa7-cc14df1fdfe8}" ma:internalName="TaxCatchAll" ma:showField="CatchAllData" ma:web="1ee2190a-2873-456b-895d-0662ff46568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EA8446-5254-4C33-AFE3-36380AEA7BF5}"/>
</file>

<file path=customXml/itemProps2.xml><?xml version="1.0" encoding="utf-8"?>
<ds:datastoreItem xmlns:ds="http://schemas.openxmlformats.org/officeDocument/2006/customXml" ds:itemID="{B080A34E-4AEB-4BDF-905F-57BEEAEADC77}"/>
</file>

<file path=customXml/itemProps3.xml><?xml version="1.0" encoding="utf-8"?>
<ds:datastoreItem xmlns:ds="http://schemas.openxmlformats.org/officeDocument/2006/customXml" ds:itemID="{B8C66717-8166-456E-AC6C-7C3A3301AF2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Peter Mayne</dc:creator>
  <cp:keywords/>
  <dc:description/>
  <cp:lastModifiedBy>Oluwole Akinwale</cp:lastModifiedBy>
  <cp:revision/>
  <dcterms:created xsi:type="dcterms:W3CDTF">2022-01-18T12:09:02Z</dcterms:created>
  <dcterms:modified xsi:type="dcterms:W3CDTF">2024-01-22T14:02:53Z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0x01010071DA97A43089CE4C98F539FA872F453F</vt:lpwstr>
  </property>
  <property fmtid="{D5CDD505-2E9C-101B-9397-08002B2CF9AE}" pid="3" name="MediaServiceImageTags">
    <vt:lpwstr/>
  </property>
</Properties>
</file>